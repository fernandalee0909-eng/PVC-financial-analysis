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PythonProject\"/>
    </mc:Choice>
  </mc:AlternateContent>
  <xr:revisionPtr revIDLastSave="0" documentId="13_ncr:1_{CAD92715-D915-4990-8A9D-85346B74A9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销售与成本" sheetId="2" r:id="rId1"/>
    <sheet name="存货管理" sheetId="3" r:id="rId2"/>
    <sheet name="应收账款管理" sheetId="4" r:id="rId3"/>
    <sheet name="现金周期" sheetId="5" r:id="rId4"/>
  </sheets>
  <definedNames>
    <definedName name="_xlnm._FilterDatabase" localSheetId="0" hidden="1">销售与成本!$A$1:$J$37</definedName>
    <definedName name="_xlnm._FilterDatabase" localSheetId="2" hidden="1">应收账款管理!$A$1:$F$37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2" i="3"/>
  <c r="B2" i="2"/>
  <c r="J2" i="2"/>
  <c r="H2" i="2"/>
  <c r="G37" i="2"/>
  <c r="F37" i="3" s="1"/>
  <c r="G36" i="2"/>
  <c r="G35" i="2"/>
  <c r="G34" i="2"/>
  <c r="F34" i="3" s="1"/>
  <c r="G33" i="2"/>
  <c r="F33" i="3" s="1"/>
  <c r="G32" i="2"/>
  <c r="F32" i="3" s="1"/>
  <c r="G31" i="2"/>
  <c r="F31" i="3" s="1"/>
  <c r="G30" i="2"/>
  <c r="F30" i="3" s="1"/>
  <c r="G29" i="2"/>
  <c r="G28" i="2"/>
  <c r="G27" i="2"/>
  <c r="G26" i="2"/>
  <c r="G25" i="2"/>
  <c r="G24" i="2"/>
  <c r="G23" i="2"/>
  <c r="G22" i="2"/>
  <c r="G21" i="2"/>
  <c r="F21" i="3" s="1"/>
  <c r="G20" i="2"/>
  <c r="G19" i="2"/>
  <c r="G18" i="2"/>
  <c r="G17" i="2"/>
  <c r="G16" i="2"/>
  <c r="F16" i="3" s="1"/>
  <c r="G15" i="2"/>
  <c r="F15" i="3" s="1"/>
  <c r="G14" i="2"/>
  <c r="G13" i="2"/>
  <c r="G12" i="2"/>
  <c r="F12" i="3" s="1"/>
  <c r="G11" i="2"/>
  <c r="F11" i="3" s="1"/>
  <c r="G10" i="2"/>
  <c r="F10" i="3" s="1"/>
  <c r="G9" i="2"/>
  <c r="G8" i="2"/>
  <c r="G7" i="2"/>
  <c r="G6" i="2"/>
  <c r="G5" i="2"/>
  <c r="F5" i="3" s="1"/>
  <c r="G4" i="2"/>
  <c r="F4" i="3" s="1"/>
  <c r="G3" i="2"/>
  <c r="F3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" i="3"/>
  <c r="B3" i="2"/>
  <c r="H3" i="2" s="1"/>
  <c r="B4" i="2"/>
  <c r="H4" i="2" s="1"/>
  <c r="B5" i="2"/>
  <c r="H5" i="2" s="1"/>
  <c r="B6" i="2"/>
  <c r="B6" i="4" s="1"/>
  <c r="E6" i="4" s="1"/>
  <c r="F6" i="4" s="1"/>
  <c r="C6" i="5" s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19" i="4" s="1"/>
  <c r="E19" i="4" s="1"/>
  <c r="F19" i="4" s="1"/>
  <c r="C19" i="5" s="1"/>
  <c r="B20" i="2"/>
  <c r="B20" i="4" s="1"/>
  <c r="E20" i="4" s="1"/>
  <c r="F20" i="4" s="1"/>
  <c r="C20" i="5" s="1"/>
  <c r="B21" i="2"/>
  <c r="B21" i="4" s="1"/>
  <c r="E21" i="4" s="1"/>
  <c r="F21" i="4" s="1"/>
  <c r="C21" i="5" s="1"/>
  <c r="B22" i="2"/>
  <c r="B22" i="4" s="1"/>
  <c r="E22" i="4" s="1"/>
  <c r="F22" i="4" s="1"/>
  <c r="C22" i="5" s="1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5" i="4" s="1"/>
  <c r="E35" i="4" s="1"/>
  <c r="F35" i="4" s="1"/>
  <c r="C35" i="5" s="1"/>
  <c r="B36" i="2"/>
  <c r="H36" i="2" s="1"/>
  <c r="B37" i="2"/>
  <c r="B37" i="4" s="1"/>
  <c r="E37" i="4" s="1"/>
  <c r="F37" i="4" s="1"/>
  <c r="C37" i="5" s="1"/>
  <c r="E2" i="3" l="1"/>
  <c r="B3" i="3" s="1"/>
  <c r="E3" i="3" s="1"/>
  <c r="B4" i="3" s="1"/>
  <c r="E4" i="3" s="1"/>
  <c r="B5" i="3" s="1"/>
  <c r="F2" i="3"/>
  <c r="F9" i="3"/>
  <c r="F8" i="3"/>
  <c r="F7" i="3"/>
  <c r="F6" i="3"/>
  <c r="F26" i="3"/>
  <c r="F25" i="3"/>
  <c r="F24" i="3"/>
  <c r="B27" i="4"/>
  <c r="E27" i="4" s="1"/>
  <c r="F27" i="4" s="1"/>
  <c r="C27" i="5" s="1"/>
  <c r="F23" i="3"/>
  <c r="F17" i="3"/>
  <c r="F20" i="3"/>
  <c r="F19" i="3"/>
  <c r="F14" i="3"/>
  <c r="F29" i="3"/>
  <c r="F13" i="3"/>
  <c r="F22" i="3"/>
  <c r="F36" i="3"/>
  <c r="B12" i="4"/>
  <c r="E12" i="4" s="1"/>
  <c r="F12" i="4" s="1"/>
  <c r="C12" i="5" s="1"/>
  <c r="F18" i="3"/>
  <c r="F28" i="3"/>
  <c r="F35" i="3"/>
  <c r="B11" i="4"/>
  <c r="E11" i="4" s="1"/>
  <c r="F11" i="4" s="1"/>
  <c r="C11" i="5" s="1"/>
  <c r="F27" i="3"/>
  <c r="B28" i="4"/>
  <c r="E28" i="4" s="1"/>
  <c r="F28" i="4" s="1"/>
  <c r="C28" i="5" s="1"/>
  <c r="B9" i="4"/>
  <c r="E9" i="4" s="1"/>
  <c r="F9" i="4" s="1"/>
  <c r="C9" i="5" s="1"/>
  <c r="B36" i="4"/>
  <c r="E36" i="4" s="1"/>
  <c r="F36" i="4" s="1"/>
  <c r="C36" i="5" s="1"/>
  <c r="B4" i="4"/>
  <c r="E4" i="4" s="1"/>
  <c r="F4" i="4" s="1"/>
  <c r="C4" i="5" s="1"/>
  <c r="B18" i="4"/>
  <c r="E18" i="4" s="1"/>
  <c r="F18" i="4" s="1"/>
  <c r="C18" i="5" s="1"/>
  <c r="B33" i="4"/>
  <c r="E33" i="4" s="1"/>
  <c r="F33" i="4" s="1"/>
  <c r="C33" i="5" s="1"/>
  <c r="B17" i="4"/>
  <c r="E17" i="4" s="1"/>
  <c r="F17" i="4" s="1"/>
  <c r="C17" i="5" s="1"/>
  <c r="B26" i="4"/>
  <c r="E26" i="4" s="1"/>
  <c r="F26" i="4" s="1"/>
  <c r="C26" i="5" s="1"/>
  <c r="B10" i="4"/>
  <c r="E10" i="4" s="1"/>
  <c r="F10" i="4" s="1"/>
  <c r="C10" i="5" s="1"/>
  <c r="B25" i="4"/>
  <c r="E25" i="4" s="1"/>
  <c r="F25" i="4" s="1"/>
  <c r="C25" i="5" s="1"/>
  <c r="B24" i="4"/>
  <c r="E24" i="4" s="1"/>
  <c r="F24" i="4" s="1"/>
  <c r="C24" i="5" s="1"/>
  <c r="B8" i="4"/>
  <c r="E8" i="4" s="1"/>
  <c r="F8" i="4" s="1"/>
  <c r="C8" i="5" s="1"/>
  <c r="B23" i="4"/>
  <c r="E23" i="4" s="1"/>
  <c r="F23" i="4" s="1"/>
  <c r="C23" i="5" s="1"/>
  <c r="B7" i="4"/>
  <c r="E7" i="4" s="1"/>
  <c r="F7" i="4" s="1"/>
  <c r="C7" i="5" s="1"/>
  <c r="B3" i="4"/>
  <c r="E3" i="4" s="1"/>
  <c r="F3" i="4" s="1"/>
  <c r="C3" i="5" s="1"/>
  <c r="B34" i="4"/>
  <c r="E34" i="4" s="1"/>
  <c r="F34" i="4" s="1"/>
  <c r="C34" i="5" s="1"/>
  <c r="B32" i="4"/>
  <c r="E32" i="4" s="1"/>
  <c r="F32" i="4" s="1"/>
  <c r="C32" i="5" s="1"/>
  <c r="B16" i="4"/>
  <c r="E16" i="4" s="1"/>
  <c r="F16" i="4" s="1"/>
  <c r="C16" i="5" s="1"/>
  <c r="B31" i="4"/>
  <c r="E31" i="4" s="1"/>
  <c r="F31" i="4" s="1"/>
  <c r="C31" i="5" s="1"/>
  <c r="B15" i="4"/>
  <c r="E15" i="4" s="1"/>
  <c r="F15" i="4" s="1"/>
  <c r="C15" i="5" s="1"/>
  <c r="B30" i="4"/>
  <c r="E30" i="4" s="1"/>
  <c r="F30" i="4" s="1"/>
  <c r="C30" i="5" s="1"/>
  <c r="B14" i="4"/>
  <c r="E14" i="4" s="1"/>
  <c r="F14" i="4" s="1"/>
  <c r="C14" i="5" s="1"/>
  <c r="B5" i="4"/>
  <c r="E5" i="4" s="1"/>
  <c r="F5" i="4" s="1"/>
  <c r="C5" i="5" s="1"/>
  <c r="B29" i="4"/>
  <c r="E29" i="4" s="1"/>
  <c r="F29" i="4" s="1"/>
  <c r="C29" i="5" s="1"/>
  <c r="B13" i="4"/>
  <c r="E13" i="4" s="1"/>
  <c r="F13" i="4" s="1"/>
  <c r="C13" i="5" s="1"/>
  <c r="B2" i="4"/>
  <c r="E2" i="4" s="1"/>
  <c r="F2" i="4" s="1"/>
  <c r="C2" i="5" s="1"/>
  <c r="J34" i="2"/>
  <c r="J17" i="2"/>
  <c r="J32" i="2"/>
  <c r="J15" i="2"/>
  <c r="J33" i="2"/>
  <c r="J31" i="2"/>
  <c r="J18" i="2"/>
  <c r="J16" i="2"/>
  <c r="J13" i="2"/>
  <c r="J28" i="2"/>
  <c r="J27" i="2"/>
  <c r="J10" i="2"/>
  <c r="J25" i="2"/>
  <c r="J8" i="2"/>
  <c r="J7" i="2"/>
  <c r="J22" i="2"/>
  <c r="J37" i="2"/>
  <c r="J5" i="2"/>
  <c r="J36" i="2"/>
  <c r="J20" i="2"/>
  <c r="J4" i="2"/>
  <c r="J30" i="2"/>
  <c r="J14" i="2"/>
  <c r="J29" i="2"/>
  <c r="J12" i="2"/>
  <c r="J11" i="2"/>
  <c r="J26" i="2"/>
  <c r="J9" i="2"/>
  <c r="J24" i="2"/>
  <c r="J23" i="2"/>
  <c r="J6" i="2"/>
  <c r="J21" i="2"/>
  <c r="J35" i="2"/>
  <c r="J19" i="2"/>
  <c r="J3" i="2"/>
  <c r="H29" i="2"/>
  <c r="H30" i="2"/>
  <c r="H28" i="2"/>
  <c r="H27" i="2"/>
  <c r="H13" i="2"/>
  <c r="H12" i="2"/>
  <c r="H14" i="2"/>
  <c r="H11" i="2"/>
  <c r="H9" i="2"/>
  <c r="H8" i="2"/>
  <c r="H23" i="2"/>
  <c r="H37" i="2"/>
  <c r="H21" i="2"/>
  <c r="H33" i="2"/>
  <c r="H17" i="2"/>
  <c r="H26" i="2"/>
  <c r="H24" i="2"/>
  <c r="H22" i="2"/>
  <c r="H6" i="2"/>
  <c r="H20" i="2"/>
  <c r="H35" i="2"/>
  <c r="H19" i="2"/>
  <c r="H34" i="2"/>
  <c r="H18" i="2"/>
  <c r="H32" i="2"/>
  <c r="H16" i="2"/>
  <c r="H10" i="2"/>
  <c r="H25" i="2"/>
  <c r="H7" i="2"/>
  <c r="H31" i="2"/>
  <c r="H15" i="2"/>
  <c r="G3" i="3" l="1"/>
  <c r="I4" i="3"/>
  <c r="B4" i="5" s="1"/>
  <c r="E4" i="5" s="1"/>
  <c r="I3" i="3"/>
  <c r="I2" i="3"/>
  <c r="G4" i="3"/>
  <c r="B3" i="5"/>
  <c r="E3" i="5" s="1"/>
  <c r="G2" i="3"/>
  <c r="E5" i="3"/>
  <c r="B2" i="5" l="1"/>
  <c r="E2" i="5" s="1"/>
  <c r="I5" i="3"/>
  <c r="G5" i="3"/>
  <c r="B6" i="3"/>
  <c r="B5" i="5" l="1"/>
  <c r="E5" i="5" s="1"/>
  <c r="E6" i="3"/>
  <c r="I6" i="3"/>
  <c r="B6" i="5" l="1"/>
  <c r="E6" i="5" s="1"/>
  <c r="G6" i="3"/>
  <c r="B7" i="3"/>
  <c r="E7" i="3" l="1"/>
  <c r="G7" i="3" l="1"/>
  <c r="I7" i="3"/>
  <c r="B8" i="3"/>
  <c r="B7" i="5" l="1"/>
  <c r="E7" i="5" s="1"/>
  <c r="E8" i="3"/>
  <c r="I8" i="3" s="1"/>
  <c r="B8" i="5" l="1"/>
  <c r="E8" i="5" s="1"/>
  <c r="G8" i="3"/>
  <c r="B9" i="3"/>
  <c r="E9" i="3" l="1"/>
  <c r="I9" i="3" s="1"/>
  <c r="B9" i="5" l="1"/>
  <c r="E9" i="5" s="1"/>
  <c r="G9" i="3"/>
  <c r="B10" i="3"/>
  <c r="E10" i="3" l="1"/>
  <c r="G10" i="3" l="1"/>
  <c r="I10" i="3"/>
  <c r="B11" i="3"/>
  <c r="B10" i="5" l="1"/>
  <c r="E10" i="5" s="1"/>
  <c r="E11" i="3"/>
  <c r="G11" i="3" l="1"/>
  <c r="I11" i="3"/>
  <c r="B12" i="3"/>
  <c r="B11" i="5" l="1"/>
  <c r="E11" i="5" s="1"/>
  <c r="E12" i="3"/>
  <c r="I12" i="3" s="1"/>
  <c r="B12" i="5" l="1"/>
  <c r="E12" i="5" s="1"/>
  <c r="G12" i="3"/>
  <c r="B13" i="3"/>
  <c r="E13" i="3" l="1"/>
  <c r="I13" i="3"/>
  <c r="B13" i="5" l="1"/>
  <c r="E13" i="5" s="1"/>
  <c r="G13" i="3"/>
  <c r="B14" i="3"/>
  <c r="E14" i="3" l="1"/>
  <c r="I14" i="3" s="1"/>
  <c r="B14" i="5" l="1"/>
  <c r="E14" i="5" s="1"/>
  <c r="G14" i="3"/>
  <c r="B15" i="3"/>
  <c r="E15" i="3" l="1"/>
  <c r="I15" i="3"/>
  <c r="B15" i="5" l="1"/>
  <c r="E15" i="5" s="1"/>
  <c r="G15" i="3"/>
  <c r="B16" i="3"/>
  <c r="E16" i="3" l="1"/>
  <c r="G16" i="3" l="1"/>
  <c r="I16" i="3"/>
  <c r="B17" i="3"/>
  <c r="B16" i="5" l="1"/>
  <c r="E16" i="5" s="1"/>
  <c r="E17" i="3"/>
  <c r="I17" i="3" s="1"/>
  <c r="B17" i="5" l="1"/>
  <c r="E17" i="5" s="1"/>
  <c r="G17" i="3"/>
  <c r="B18" i="3"/>
  <c r="E18" i="3" l="1"/>
  <c r="I18" i="3"/>
  <c r="B18" i="5" l="1"/>
  <c r="E18" i="5" s="1"/>
  <c r="G18" i="3"/>
  <c r="B19" i="3"/>
  <c r="E19" i="3" l="1"/>
  <c r="I19" i="3"/>
  <c r="B19" i="5" l="1"/>
  <c r="E19" i="5" s="1"/>
  <c r="G19" i="3"/>
  <c r="B20" i="3"/>
  <c r="E20" i="3" l="1"/>
  <c r="I20" i="3" s="1"/>
  <c r="B20" i="5" l="1"/>
  <c r="E20" i="5" s="1"/>
  <c r="G20" i="3"/>
  <c r="B21" i="3"/>
  <c r="E21" i="3" l="1"/>
  <c r="I21" i="3" s="1"/>
  <c r="B21" i="5" l="1"/>
  <c r="E21" i="5" s="1"/>
  <c r="G21" i="3"/>
  <c r="B22" i="3"/>
  <c r="E22" i="3" l="1"/>
  <c r="I22" i="3"/>
  <c r="B22" i="5" l="1"/>
  <c r="E22" i="5" s="1"/>
  <c r="G22" i="3"/>
  <c r="B23" i="3"/>
  <c r="E23" i="3" l="1"/>
  <c r="I23" i="3"/>
  <c r="B23" i="5" l="1"/>
  <c r="E23" i="5" s="1"/>
  <c r="G23" i="3"/>
  <c r="B24" i="3"/>
  <c r="E24" i="3" l="1"/>
  <c r="I24" i="3" s="1"/>
  <c r="B24" i="5" l="1"/>
  <c r="E24" i="5" s="1"/>
  <c r="G24" i="3"/>
  <c r="B25" i="3"/>
  <c r="E25" i="3" l="1"/>
  <c r="I25" i="3"/>
  <c r="B25" i="5" l="1"/>
  <c r="E25" i="5" s="1"/>
  <c r="G25" i="3"/>
  <c r="B26" i="3"/>
  <c r="E26" i="3" l="1"/>
  <c r="I26" i="3"/>
  <c r="B26" i="5" l="1"/>
  <c r="E26" i="5" s="1"/>
  <c r="G26" i="3"/>
  <c r="B27" i="3"/>
  <c r="E27" i="3" l="1"/>
  <c r="G27" i="3" l="1"/>
  <c r="B28" i="3"/>
  <c r="I27" i="3"/>
  <c r="B27" i="5" l="1"/>
  <c r="E27" i="5" s="1"/>
  <c r="E28" i="3"/>
  <c r="I28" i="3" s="1"/>
  <c r="B28" i="5" l="1"/>
  <c r="E28" i="5" s="1"/>
  <c r="G28" i="3"/>
  <c r="B29" i="3"/>
  <c r="E29" i="3" l="1"/>
  <c r="I29" i="3" l="1"/>
  <c r="G29" i="3"/>
  <c r="B30" i="3"/>
  <c r="B29" i="5" l="1"/>
  <c r="E29" i="5" s="1"/>
  <c r="E30" i="3"/>
  <c r="I30" i="3" s="1"/>
  <c r="G30" i="3" l="1"/>
  <c r="B30" i="5"/>
  <c r="E30" i="5" s="1"/>
  <c r="B31" i="3"/>
  <c r="E31" i="3" l="1"/>
  <c r="I31" i="3"/>
  <c r="B31" i="5" l="1"/>
  <c r="E31" i="5" s="1"/>
  <c r="G31" i="3"/>
  <c r="B32" i="3"/>
  <c r="E32" i="3" l="1"/>
  <c r="G32" i="3" l="1"/>
  <c r="I32" i="3"/>
  <c r="B33" i="3"/>
  <c r="B32" i="5" l="1"/>
  <c r="E32" i="5" s="1"/>
  <c r="E33" i="3"/>
  <c r="I33" i="3" s="1"/>
  <c r="B33" i="5" l="1"/>
  <c r="E33" i="5" s="1"/>
  <c r="G33" i="3"/>
  <c r="B34" i="3"/>
  <c r="E34" i="3" l="1"/>
  <c r="I34" i="3"/>
  <c r="B34" i="5" l="1"/>
  <c r="E34" i="5" s="1"/>
  <c r="G34" i="3"/>
  <c r="B35" i="3"/>
  <c r="E35" i="3" l="1"/>
  <c r="I35" i="3" s="1"/>
  <c r="B35" i="5" l="1"/>
  <c r="E35" i="5" s="1"/>
  <c r="G35" i="3"/>
  <c r="B36" i="3"/>
  <c r="E36" i="3" l="1"/>
  <c r="I36" i="3" s="1"/>
  <c r="B36" i="5" l="1"/>
  <c r="E36" i="5" s="1"/>
  <c r="G36" i="3"/>
  <c r="B37" i="3"/>
  <c r="E37" i="3" l="1"/>
  <c r="I37" i="3" s="1"/>
  <c r="B37" i="5" l="1"/>
  <c r="E37" i="5" s="1"/>
  <c r="G37" i="3"/>
</calcChain>
</file>

<file path=xl/sharedStrings.xml><?xml version="1.0" encoding="utf-8"?>
<sst xmlns="http://schemas.openxmlformats.org/spreadsheetml/2006/main" count="30" uniqueCount="25">
  <si>
    <t>期初存货_数量（米）</t>
    <phoneticPr fontId="3" type="noConversion"/>
  </si>
  <si>
    <t>入库量（米）</t>
    <phoneticPr fontId="3" type="noConversion"/>
  </si>
  <si>
    <t>期末存货_数量（米）</t>
    <phoneticPr fontId="3" type="noConversion"/>
  </si>
  <si>
    <t>存货周转天数</t>
    <phoneticPr fontId="3" type="noConversion"/>
  </si>
  <si>
    <t>营业收入（元）</t>
    <phoneticPr fontId="3" type="noConversion"/>
  </si>
  <si>
    <t>应收账款（元）</t>
    <phoneticPr fontId="3" type="noConversion"/>
  </si>
  <si>
    <t>应收账款周转天数</t>
    <phoneticPr fontId="3" type="noConversion"/>
  </si>
  <si>
    <t>应收账款周转率</t>
    <phoneticPr fontId="3" type="noConversion"/>
  </si>
  <si>
    <t>累计营业收入（元）</t>
    <phoneticPr fontId="3" type="noConversion"/>
  </si>
  <si>
    <t>应付账款周转天数</t>
  </si>
  <si>
    <t>月度销售成本</t>
    <phoneticPr fontId="3" type="noConversion"/>
  </si>
  <si>
    <t>单位成本（元）</t>
    <phoneticPr fontId="3" type="noConversion"/>
  </si>
  <si>
    <t>日期</t>
    <phoneticPr fontId="3" type="noConversion"/>
  </si>
  <si>
    <t>净利润（元）</t>
    <phoneticPr fontId="3" type="noConversion"/>
  </si>
  <si>
    <t>销售收入（元）</t>
    <phoneticPr fontId="3" type="noConversion"/>
  </si>
  <si>
    <t>销售数量（米）</t>
    <phoneticPr fontId="3" type="noConversion"/>
  </si>
  <si>
    <t>产品售价（元/米）</t>
    <phoneticPr fontId="3" type="noConversion"/>
  </si>
  <si>
    <t>营业成本（元）</t>
    <phoneticPr fontId="3" type="noConversion"/>
  </si>
  <si>
    <t>PVC树脂价格（元/吨）</t>
    <phoneticPr fontId="3" type="noConversion"/>
  </si>
  <si>
    <t>单位成本（元/米）</t>
    <phoneticPr fontId="3" type="noConversion"/>
  </si>
  <si>
    <t>毛利（元）</t>
    <phoneticPr fontId="3" type="noConversion"/>
  </si>
  <si>
    <t>运营费用（元）</t>
    <phoneticPr fontId="3" type="noConversion"/>
  </si>
  <si>
    <t>出库量（米）</t>
    <phoneticPr fontId="3" type="noConversion"/>
  </si>
  <si>
    <t>现金周期（天）</t>
    <phoneticPr fontId="3" type="noConversion"/>
  </si>
  <si>
    <t>存货金额（元）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</si>
</sst>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0.00_);[Red]\(0.00\)"/>
  </numFmts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14" fontId="0" fillId="0" borderId="0" xfId="0" applyNumberFormat="1"/>
    <xf numFmtId="43" fontId="0" fillId="0" borderId="0" xfId="1" applyFont="1" applyAlignment="1"/>
    <xf numFmtId="4" fontId="0" fillId="0" borderId="0" xfId="0" applyNumberFormat="1"/>
    <xf numFmtId="43" fontId="0" fillId="0" borderId="0" xfId="0" applyNumberFormat="1"/>
    <xf numFmtId="0" fontId="5" fillId="0" borderId="0" xfId="0" applyFont="1" applyAlignment="1">
      <alignment horizontal="center" vertical="center" wrapText="1"/>
    </xf>
    <xf numFmtId="43" fontId="0" fillId="0" borderId="0" xfId="1" applyFont="1" applyFill="1" applyAlignment="1"/>
    <xf numFmtId="176" fontId="0" fillId="0" borderId="0" xfId="0" applyNumberFormat="1"/>
    <xf numFmtId="43" fontId="5" fillId="0" borderId="0" xfId="1" applyFont="1" applyAlignment="1">
      <alignment horizontal="center" vertical="center" wrapText="1"/>
    </xf>
    <xf numFmtId="43" fontId="5" fillId="0" borderId="0" xfId="1" applyFont="1" applyFill="1" applyAlignment="1">
      <alignment horizontal="center" vertical="center" wrapText="1"/>
    </xf>
    <xf numFmtId="0" fontId="6" fillId="0" borderId="0" xfId="0" applyFont="1"/>
    <xf numFmtId="14" fontId="6" fillId="0" borderId="0" xfId="0" applyNumberFormat="1" applyFont="1"/>
    <xf numFmtId="43" fontId="6" fillId="0" borderId="0" xfId="1" applyFont="1" applyFill="1" applyAlignment="1"/>
    <xf numFmtId="43" fontId="6" fillId="0" borderId="0" xfId="0" applyNumberFormat="1" applyFont="1"/>
    <xf numFmtId="0" fontId="0" fillId="0" borderId="0" xfId="0" applyAlignment="1">
      <alignment vertical="center"/>
    </xf>
    <xf numFmtId="177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43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8E6D-1AB4-40C0-A20A-5904C5BA8AB5}">
  <dimension ref="A1:J49"/>
  <sheetViews>
    <sheetView tabSelected="1" workbookViewId="0">
      <selection activeCell="D12" sqref="D12"/>
    </sheetView>
  </sheetViews>
  <sheetFormatPr defaultRowHeight="13.5" x14ac:dyDescent="0.3"/>
  <cols>
    <col min="1" max="1" width="13.33203125" style="11" customWidth="1"/>
    <col min="2" max="2" width="19.06640625" style="13" customWidth="1"/>
    <col min="3" max="3" width="15.265625" style="13" customWidth="1"/>
    <col min="4" max="4" width="16.73046875" style="13" bestFit="1" customWidth="1"/>
    <col min="5" max="5" width="16.46484375" style="13" bestFit="1" customWidth="1"/>
    <col min="6" max="6" width="20.1328125" style="13" customWidth="1"/>
    <col min="7" max="7" width="16.73046875" style="13" bestFit="1" customWidth="1"/>
    <col min="8" max="9" width="16.46484375" style="13" bestFit="1" customWidth="1"/>
    <col min="10" max="10" width="17.53125" style="13" bestFit="1" customWidth="1"/>
    <col min="11" max="16384" width="9.06640625" style="10"/>
  </cols>
  <sheetData>
    <row r="1" spans="1:10" s="18" customFormat="1" ht="20.350000000000001" customHeight="1" x14ac:dyDescent="0.3">
      <c r="A1" s="16" t="s">
        <v>12</v>
      </c>
      <c r="B1" s="17" t="s">
        <v>14</v>
      </c>
      <c r="C1" s="17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7" t="s">
        <v>21</v>
      </c>
      <c r="J1" s="17" t="s">
        <v>13</v>
      </c>
    </row>
    <row r="2" spans="1:10" ht="17.75" customHeight="1" x14ac:dyDescent="0.3">
      <c r="A2" s="11">
        <v>44592</v>
      </c>
      <c r="B2" s="12">
        <f>C2*D2</f>
        <v>8250000</v>
      </c>
      <c r="C2" s="4">
        <v>550000</v>
      </c>
      <c r="D2" s="4">
        <v>15</v>
      </c>
      <c r="E2" s="4">
        <v>8190000</v>
      </c>
      <c r="F2" s="4">
        <v>8900</v>
      </c>
      <c r="G2" s="12">
        <f>E2/C2</f>
        <v>14.890909090909091</v>
      </c>
      <c r="H2" s="12">
        <f>B2-E2</f>
        <v>60000</v>
      </c>
      <c r="I2" s="4">
        <v>982500</v>
      </c>
      <c r="J2" s="12">
        <f>B2-E2-I2</f>
        <v>-922500</v>
      </c>
    </row>
    <row r="3" spans="1:10" ht="17.75" customHeight="1" x14ac:dyDescent="0.3">
      <c r="A3" s="11">
        <v>44620</v>
      </c>
      <c r="B3" s="12">
        <f t="shared" ref="B3:B37" si="0">C3*D3</f>
        <v>7961200</v>
      </c>
      <c r="C3" s="4">
        <v>520000</v>
      </c>
      <c r="D3" s="4">
        <v>15.31</v>
      </c>
      <c r="E3" s="4">
        <v>7826000</v>
      </c>
      <c r="F3" s="4">
        <v>8800</v>
      </c>
      <c r="G3" s="12">
        <f t="shared" ref="G3:G37" si="1">E3/C3</f>
        <v>15.05</v>
      </c>
      <c r="H3" s="12">
        <f t="shared" ref="H3:H37" si="2">B3-E3</f>
        <v>135200</v>
      </c>
      <c r="I3" s="4">
        <v>978000</v>
      </c>
      <c r="J3" s="12">
        <f t="shared" ref="J3:J37" si="3">B3-E3-I3</f>
        <v>-842800</v>
      </c>
    </row>
    <row r="4" spans="1:10" ht="17.75" customHeight="1" x14ac:dyDescent="0.3">
      <c r="A4" s="11">
        <v>44651</v>
      </c>
      <c r="B4" s="12">
        <f t="shared" si="0"/>
        <v>8680000</v>
      </c>
      <c r="C4" s="4">
        <v>500000</v>
      </c>
      <c r="D4" s="4">
        <v>17.36</v>
      </c>
      <c r="E4" s="4">
        <v>7330000</v>
      </c>
      <c r="F4" s="4">
        <v>8500</v>
      </c>
      <c r="G4" s="12">
        <f t="shared" si="1"/>
        <v>14.66</v>
      </c>
      <c r="H4" s="12">
        <f t="shared" si="2"/>
        <v>1350000</v>
      </c>
      <c r="I4" s="4">
        <v>975000</v>
      </c>
      <c r="J4" s="12">
        <f t="shared" si="3"/>
        <v>375000</v>
      </c>
    </row>
    <row r="5" spans="1:10" ht="17.75" customHeight="1" x14ac:dyDescent="0.3">
      <c r="A5" s="11">
        <v>44681</v>
      </c>
      <c r="B5" s="12">
        <f t="shared" si="0"/>
        <v>7492800</v>
      </c>
      <c r="C5" s="4">
        <v>480000</v>
      </c>
      <c r="D5" s="4">
        <v>15.61</v>
      </c>
      <c r="E5" s="4">
        <v>6868800</v>
      </c>
      <c r="F5" s="4">
        <v>8200</v>
      </c>
      <c r="G5" s="12">
        <f t="shared" si="1"/>
        <v>14.31</v>
      </c>
      <c r="H5" s="12">
        <f t="shared" si="2"/>
        <v>624000</v>
      </c>
      <c r="I5" s="4">
        <v>972000</v>
      </c>
      <c r="J5" s="12">
        <f t="shared" si="3"/>
        <v>-348000</v>
      </c>
    </row>
    <row r="6" spans="1:10" ht="17.75" customHeight="1" x14ac:dyDescent="0.3">
      <c r="A6" s="11">
        <v>44712</v>
      </c>
      <c r="B6" s="12">
        <f t="shared" si="0"/>
        <v>7442800</v>
      </c>
      <c r="C6" s="4">
        <v>460000</v>
      </c>
      <c r="D6" s="4">
        <v>16.18</v>
      </c>
      <c r="E6" s="4">
        <v>6595600</v>
      </c>
      <c r="F6" s="4">
        <v>7800</v>
      </c>
      <c r="G6" s="12">
        <f t="shared" si="1"/>
        <v>14.338260869565218</v>
      </c>
      <c r="H6" s="12">
        <f t="shared" si="2"/>
        <v>847200</v>
      </c>
      <c r="I6" s="4">
        <v>969000</v>
      </c>
      <c r="J6" s="12">
        <f t="shared" si="3"/>
        <v>-121800</v>
      </c>
    </row>
    <row r="7" spans="1:10" ht="17.75" customHeight="1" x14ac:dyDescent="0.3">
      <c r="A7" s="11">
        <v>44742</v>
      </c>
      <c r="B7" s="12">
        <f t="shared" si="0"/>
        <v>7798499.9999999991</v>
      </c>
      <c r="C7" s="4">
        <v>450000</v>
      </c>
      <c r="D7" s="4">
        <v>17.329999999999998</v>
      </c>
      <c r="E7" s="4">
        <v>7038000</v>
      </c>
      <c r="F7" s="4">
        <v>7400</v>
      </c>
      <c r="G7" s="12">
        <f t="shared" si="1"/>
        <v>15.64</v>
      </c>
      <c r="H7" s="12">
        <f t="shared" si="2"/>
        <v>760499.99999999907</v>
      </c>
      <c r="I7" s="4">
        <v>967500</v>
      </c>
      <c r="J7" s="12">
        <f t="shared" si="3"/>
        <v>-207000.00000000093</v>
      </c>
    </row>
    <row r="8" spans="1:10" ht="17.75" customHeight="1" x14ac:dyDescent="0.3">
      <c r="A8" s="11">
        <v>44773</v>
      </c>
      <c r="B8" s="12">
        <f t="shared" si="0"/>
        <v>8270800</v>
      </c>
      <c r="C8" s="4">
        <v>460000</v>
      </c>
      <c r="D8" s="4">
        <v>17.98</v>
      </c>
      <c r="E8" s="4">
        <v>6670800</v>
      </c>
      <c r="F8" s="4">
        <v>7100</v>
      </c>
      <c r="G8" s="12">
        <f t="shared" si="1"/>
        <v>14.501739130434782</v>
      </c>
      <c r="H8" s="12">
        <f t="shared" si="2"/>
        <v>1600000</v>
      </c>
      <c r="I8" s="4">
        <v>969000</v>
      </c>
      <c r="J8" s="12">
        <f t="shared" si="3"/>
        <v>631000</v>
      </c>
    </row>
    <row r="9" spans="1:10" ht="17.75" customHeight="1" x14ac:dyDescent="0.3">
      <c r="A9" s="11">
        <v>44804</v>
      </c>
      <c r="B9" s="12">
        <f t="shared" si="0"/>
        <v>7458900</v>
      </c>
      <c r="C9" s="4">
        <v>470000</v>
      </c>
      <c r="D9" s="4">
        <v>15.87</v>
      </c>
      <c r="E9" s="4">
        <v>6862900</v>
      </c>
      <c r="F9" s="4">
        <v>6600</v>
      </c>
      <c r="G9" s="12">
        <f t="shared" si="1"/>
        <v>14.601914893617021</v>
      </c>
      <c r="H9" s="12">
        <f t="shared" si="2"/>
        <v>596000</v>
      </c>
      <c r="I9" s="4">
        <v>970500</v>
      </c>
      <c r="J9" s="12">
        <f t="shared" si="3"/>
        <v>-374500</v>
      </c>
    </row>
    <row r="10" spans="1:10" ht="17.75" customHeight="1" x14ac:dyDescent="0.3">
      <c r="A10" s="11">
        <v>44834</v>
      </c>
      <c r="B10" s="12">
        <f t="shared" si="0"/>
        <v>7444800</v>
      </c>
      <c r="C10" s="4">
        <v>480000</v>
      </c>
      <c r="D10" s="4">
        <v>15.51</v>
      </c>
      <c r="E10" s="4">
        <v>7128000</v>
      </c>
      <c r="F10" s="4">
        <v>6200</v>
      </c>
      <c r="G10" s="12">
        <f t="shared" si="1"/>
        <v>14.85</v>
      </c>
      <c r="H10" s="12">
        <f t="shared" si="2"/>
        <v>316800</v>
      </c>
      <c r="I10" s="4">
        <v>972000</v>
      </c>
      <c r="J10" s="12">
        <f t="shared" si="3"/>
        <v>-655200</v>
      </c>
    </row>
    <row r="11" spans="1:10" ht="17.75" customHeight="1" x14ac:dyDescent="0.3">
      <c r="A11" s="11">
        <v>44865</v>
      </c>
      <c r="B11" s="12">
        <f t="shared" si="0"/>
        <v>7200000</v>
      </c>
      <c r="C11" s="4">
        <v>450000</v>
      </c>
      <c r="D11" s="4">
        <v>16</v>
      </c>
      <c r="E11" s="4">
        <v>6750000</v>
      </c>
      <c r="F11" s="4">
        <v>5900</v>
      </c>
      <c r="G11" s="12">
        <f t="shared" si="1"/>
        <v>15</v>
      </c>
      <c r="H11" s="12">
        <f t="shared" si="2"/>
        <v>450000</v>
      </c>
      <c r="I11" s="4">
        <v>967500</v>
      </c>
      <c r="J11" s="12">
        <f t="shared" si="3"/>
        <v>-517500</v>
      </c>
    </row>
    <row r="12" spans="1:10" ht="17.75" customHeight="1" x14ac:dyDescent="0.3">
      <c r="A12" s="11">
        <v>44895</v>
      </c>
      <c r="B12" s="12">
        <f t="shared" si="0"/>
        <v>6160000</v>
      </c>
      <c r="C12" s="4">
        <v>440000</v>
      </c>
      <c r="D12" s="4">
        <v>14</v>
      </c>
      <c r="E12" s="4">
        <v>5720000</v>
      </c>
      <c r="F12" s="4">
        <v>5800</v>
      </c>
      <c r="G12" s="12">
        <f t="shared" si="1"/>
        <v>13</v>
      </c>
      <c r="H12" s="12">
        <f t="shared" si="2"/>
        <v>440000</v>
      </c>
      <c r="I12" s="4">
        <v>966000</v>
      </c>
      <c r="J12" s="12">
        <f t="shared" si="3"/>
        <v>-526000</v>
      </c>
    </row>
    <row r="13" spans="1:10" ht="17.75" customHeight="1" x14ac:dyDescent="0.3">
      <c r="A13" s="11">
        <v>44926</v>
      </c>
      <c r="B13" s="12">
        <f t="shared" si="0"/>
        <v>6300000</v>
      </c>
      <c r="C13" s="4">
        <v>450000</v>
      </c>
      <c r="D13" s="4">
        <v>14</v>
      </c>
      <c r="E13" s="4">
        <v>5854500</v>
      </c>
      <c r="F13" s="4">
        <v>5750</v>
      </c>
      <c r="G13" s="12">
        <f t="shared" si="1"/>
        <v>13.01</v>
      </c>
      <c r="H13" s="12">
        <f t="shared" si="2"/>
        <v>445500</v>
      </c>
      <c r="I13" s="4">
        <v>967500</v>
      </c>
      <c r="J13" s="12">
        <f t="shared" si="3"/>
        <v>-522000</v>
      </c>
    </row>
    <row r="14" spans="1:10" ht="17.75" customHeight="1" x14ac:dyDescent="0.3">
      <c r="A14" s="11">
        <v>44957</v>
      </c>
      <c r="B14" s="12">
        <f t="shared" si="0"/>
        <v>6960000</v>
      </c>
      <c r="C14" s="4">
        <v>480000</v>
      </c>
      <c r="D14" s="4">
        <v>14.5</v>
      </c>
      <c r="E14" s="4">
        <v>6489600</v>
      </c>
      <c r="F14" s="4">
        <v>5900</v>
      </c>
      <c r="G14" s="12">
        <f t="shared" si="1"/>
        <v>13.52</v>
      </c>
      <c r="H14" s="12">
        <f t="shared" si="2"/>
        <v>470400</v>
      </c>
      <c r="I14" s="4">
        <v>972000</v>
      </c>
      <c r="J14" s="12">
        <f t="shared" si="3"/>
        <v>-501600</v>
      </c>
    </row>
    <row r="15" spans="1:10" ht="17.75" customHeight="1" x14ac:dyDescent="0.3">
      <c r="A15" s="11">
        <v>44985</v>
      </c>
      <c r="B15" s="12">
        <f t="shared" si="0"/>
        <v>7000000</v>
      </c>
      <c r="C15" s="4">
        <v>500000</v>
      </c>
      <c r="D15" s="4">
        <v>14</v>
      </c>
      <c r="E15" s="4">
        <v>6700000</v>
      </c>
      <c r="F15" s="4">
        <v>6100</v>
      </c>
      <c r="G15" s="12">
        <f t="shared" si="1"/>
        <v>13.4</v>
      </c>
      <c r="H15" s="12">
        <f t="shared" si="2"/>
        <v>300000</v>
      </c>
      <c r="I15" s="4">
        <v>975000</v>
      </c>
      <c r="J15" s="12">
        <f t="shared" si="3"/>
        <v>-675000</v>
      </c>
    </row>
    <row r="16" spans="1:10" ht="17.75" customHeight="1" x14ac:dyDescent="0.3">
      <c r="A16" s="11">
        <v>45016</v>
      </c>
      <c r="B16" s="12">
        <f t="shared" si="0"/>
        <v>7779200</v>
      </c>
      <c r="C16" s="4">
        <v>520000</v>
      </c>
      <c r="D16" s="4">
        <v>14.96</v>
      </c>
      <c r="E16" s="4">
        <v>7139600</v>
      </c>
      <c r="F16" s="4">
        <v>6300</v>
      </c>
      <c r="G16" s="12">
        <f t="shared" si="1"/>
        <v>13.73</v>
      </c>
      <c r="H16" s="12">
        <f t="shared" si="2"/>
        <v>639600</v>
      </c>
      <c r="I16" s="4">
        <v>978000</v>
      </c>
      <c r="J16" s="12">
        <f t="shared" si="3"/>
        <v>-338400</v>
      </c>
    </row>
    <row r="17" spans="1:10" ht="17.75" customHeight="1" x14ac:dyDescent="0.3">
      <c r="A17" s="11">
        <v>45046</v>
      </c>
      <c r="B17" s="12">
        <f t="shared" si="0"/>
        <v>8960000</v>
      </c>
      <c r="C17" s="4">
        <v>560000</v>
      </c>
      <c r="D17" s="4">
        <v>16</v>
      </c>
      <c r="E17" s="4">
        <v>7128000</v>
      </c>
      <c r="F17" s="4">
        <v>6000</v>
      </c>
      <c r="G17" s="12">
        <f t="shared" si="1"/>
        <v>12.728571428571428</v>
      </c>
      <c r="H17" s="12">
        <f t="shared" si="2"/>
        <v>1832000</v>
      </c>
      <c r="I17" s="4">
        <v>984000</v>
      </c>
      <c r="J17" s="12">
        <f t="shared" si="3"/>
        <v>848000</v>
      </c>
    </row>
    <row r="18" spans="1:10" ht="17.75" customHeight="1" x14ac:dyDescent="0.3">
      <c r="A18" s="11">
        <v>45077</v>
      </c>
      <c r="B18" s="12">
        <f t="shared" si="0"/>
        <v>9280000</v>
      </c>
      <c r="C18" s="4">
        <v>580000</v>
      </c>
      <c r="D18" s="4">
        <v>16</v>
      </c>
      <c r="E18" s="4">
        <v>7555400</v>
      </c>
      <c r="F18" s="4">
        <v>5800</v>
      </c>
      <c r="G18" s="12">
        <f t="shared" si="1"/>
        <v>13.026551724137931</v>
      </c>
      <c r="H18" s="12">
        <f t="shared" si="2"/>
        <v>1724600</v>
      </c>
      <c r="I18" s="4">
        <v>987000</v>
      </c>
      <c r="J18" s="12">
        <f t="shared" si="3"/>
        <v>737600</v>
      </c>
    </row>
    <row r="19" spans="1:10" ht="17.75" customHeight="1" x14ac:dyDescent="0.3">
      <c r="A19" s="11">
        <v>45107</v>
      </c>
      <c r="B19" s="12">
        <f t="shared" si="0"/>
        <v>10200000</v>
      </c>
      <c r="C19" s="4">
        <v>600000</v>
      </c>
      <c r="D19" s="4">
        <v>17</v>
      </c>
      <c r="E19" s="4">
        <v>7416000</v>
      </c>
      <c r="F19" s="4">
        <v>5600</v>
      </c>
      <c r="G19" s="12">
        <f t="shared" si="1"/>
        <v>12.36</v>
      </c>
      <c r="H19" s="12">
        <f t="shared" si="2"/>
        <v>2784000</v>
      </c>
      <c r="I19" s="4">
        <v>990000</v>
      </c>
      <c r="J19" s="12">
        <f t="shared" si="3"/>
        <v>1794000</v>
      </c>
    </row>
    <row r="20" spans="1:10" ht="17.75" customHeight="1" x14ac:dyDescent="0.3">
      <c r="A20" s="11">
        <v>45138</v>
      </c>
      <c r="B20" s="12">
        <f t="shared" si="0"/>
        <v>8798600</v>
      </c>
      <c r="C20" s="4">
        <v>580000</v>
      </c>
      <c r="D20" s="4">
        <v>15.17</v>
      </c>
      <c r="E20" s="4">
        <v>7830000</v>
      </c>
      <c r="F20" s="4">
        <v>5900</v>
      </c>
      <c r="G20" s="12">
        <f t="shared" si="1"/>
        <v>13.5</v>
      </c>
      <c r="H20" s="12">
        <f t="shared" si="2"/>
        <v>968600</v>
      </c>
      <c r="I20" s="4">
        <v>987000</v>
      </c>
      <c r="J20" s="12">
        <f t="shared" si="3"/>
        <v>-18400</v>
      </c>
    </row>
    <row r="21" spans="1:10" ht="17.75" customHeight="1" x14ac:dyDescent="0.3">
      <c r="A21" s="11">
        <v>45169</v>
      </c>
      <c r="B21" s="12">
        <f t="shared" si="0"/>
        <v>9000000</v>
      </c>
      <c r="C21" s="4">
        <v>600000</v>
      </c>
      <c r="D21" s="4">
        <v>15</v>
      </c>
      <c r="E21" s="4">
        <v>7572000</v>
      </c>
      <c r="F21" s="4">
        <v>6000</v>
      </c>
      <c r="G21" s="12">
        <f t="shared" si="1"/>
        <v>12.62</v>
      </c>
      <c r="H21" s="12">
        <f t="shared" si="2"/>
        <v>1428000</v>
      </c>
      <c r="I21" s="4">
        <v>990000</v>
      </c>
      <c r="J21" s="12">
        <f t="shared" si="3"/>
        <v>438000</v>
      </c>
    </row>
    <row r="22" spans="1:10" ht="17.75" customHeight="1" x14ac:dyDescent="0.3">
      <c r="A22" s="11">
        <v>45199</v>
      </c>
      <c r="B22" s="12">
        <f t="shared" si="0"/>
        <v>9300000</v>
      </c>
      <c r="C22" s="4">
        <v>620000</v>
      </c>
      <c r="D22" s="4">
        <v>15</v>
      </c>
      <c r="E22" s="4">
        <v>8047800</v>
      </c>
      <c r="F22" s="4">
        <v>6100</v>
      </c>
      <c r="G22" s="12">
        <f t="shared" si="1"/>
        <v>12.980322580645161</v>
      </c>
      <c r="H22" s="12">
        <f t="shared" si="2"/>
        <v>1252200</v>
      </c>
      <c r="I22" s="4">
        <v>993000</v>
      </c>
      <c r="J22" s="12">
        <f t="shared" si="3"/>
        <v>259200</v>
      </c>
    </row>
    <row r="23" spans="1:10" ht="17.75" customHeight="1" x14ac:dyDescent="0.3">
      <c r="A23" s="11">
        <v>45230</v>
      </c>
      <c r="B23" s="12">
        <f t="shared" si="0"/>
        <v>9450000</v>
      </c>
      <c r="C23" s="4">
        <v>630000</v>
      </c>
      <c r="D23" s="4">
        <v>15</v>
      </c>
      <c r="E23" s="4">
        <v>8084600</v>
      </c>
      <c r="F23" s="4">
        <v>6200</v>
      </c>
      <c r="G23" s="12">
        <f t="shared" si="1"/>
        <v>12.832698412698413</v>
      </c>
      <c r="H23" s="12">
        <f t="shared" si="2"/>
        <v>1365400</v>
      </c>
      <c r="I23" s="4">
        <v>994500</v>
      </c>
      <c r="J23" s="12">
        <f t="shared" si="3"/>
        <v>370900</v>
      </c>
    </row>
    <row r="24" spans="1:10" ht="17.75" customHeight="1" x14ac:dyDescent="0.3">
      <c r="A24" s="11">
        <v>45260</v>
      </c>
      <c r="B24" s="12">
        <f t="shared" si="0"/>
        <v>9308000</v>
      </c>
      <c r="C24" s="4">
        <v>650000</v>
      </c>
      <c r="D24" s="4">
        <v>14.32</v>
      </c>
      <c r="E24" s="4">
        <v>8320000</v>
      </c>
      <c r="F24" s="4">
        <v>5800</v>
      </c>
      <c r="G24" s="12">
        <f t="shared" si="1"/>
        <v>12.8</v>
      </c>
      <c r="H24" s="12">
        <f t="shared" si="2"/>
        <v>988000</v>
      </c>
      <c r="I24" s="4">
        <v>997500</v>
      </c>
      <c r="J24" s="12">
        <f t="shared" si="3"/>
        <v>-9500</v>
      </c>
    </row>
    <row r="25" spans="1:10" ht="17.75" customHeight="1" x14ac:dyDescent="0.3">
      <c r="A25" s="11">
        <v>45291</v>
      </c>
      <c r="B25" s="12">
        <f t="shared" si="0"/>
        <v>9750000</v>
      </c>
      <c r="C25" s="4">
        <v>650000</v>
      </c>
      <c r="D25" s="4">
        <v>15</v>
      </c>
      <c r="E25" s="4">
        <v>8424000</v>
      </c>
      <c r="F25" s="4">
        <v>5700</v>
      </c>
      <c r="G25" s="12">
        <f t="shared" si="1"/>
        <v>12.96</v>
      </c>
      <c r="H25" s="12">
        <f t="shared" si="2"/>
        <v>1326000</v>
      </c>
      <c r="I25" s="4">
        <v>997500</v>
      </c>
      <c r="J25" s="12">
        <f t="shared" si="3"/>
        <v>328500</v>
      </c>
    </row>
    <row r="26" spans="1:10" ht="17.75" customHeight="1" x14ac:dyDescent="0.3">
      <c r="A26" s="11">
        <v>45322</v>
      </c>
      <c r="B26" s="12">
        <f t="shared" si="0"/>
        <v>9520000</v>
      </c>
      <c r="C26" s="4">
        <v>680000</v>
      </c>
      <c r="D26" s="4">
        <v>14</v>
      </c>
      <c r="E26" s="4">
        <v>8146400</v>
      </c>
      <c r="F26" s="4">
        <v>5500</v>
      </c>
      <c r="G26" s="12">
        <f t="shared" si="1"/>
        <v>11.98</v>
      </c>
      <c r="H26" s="12">
        <f t="shared" si="2"/>
        <v>1373600</v>
      </c>
      <c r="I26" s="4">
        <v>1002000</v>
      </c>
      <c r="J26" s="12">
        <f t="shared" si="3"/>
        <v>371600</v>
      </c>
    </row>
    <row r="27" spans="1:10" ht="17.75" customHeight="1" x14ac:dyDescent="0.3">
      <c r="A27" s="11">
        <v>45351</v>
      </c>
      <c r="B27" s="12">
        <f t="shared" si="0"/>
        <v>9386700</v>
      </c>
      <c r="C27" s="4">
        <v>670000</v>
      </c>
      <c r="D27" s="4">
        <v>14.01</v>
      </c>
      <c r="E27" s="4">
        <v>8153900</v>
      </c>
      <c r="F27" s="4">
        <v>5400</v>
      </c>
      <c r="G27" s="12">
        <f t="shared" si="1"/>
        <v>12.17</v>
      </c>
      <c r="H27" s="12">
        <f t="shared" si="2"/>
        <v>1232800</v>
      </c>
      <c r="I27" s="4">
        <v>1000500</v>
      </c>
      <c r="J27" s="12">
        <f t="shared" si="3"/>
        <v>232300</v>
      </c>
    </row>
    <row r="28" spans="1:10" ht="17.75" customHeight="1" x14ac:dyDescent="0.3">
      <c r="A28" s="11">
        <v>45382</v>
      </c>
      <c r="B28" s="12">
        <f t="shared" si="0"/>
        <v>10302600</v>
      </c>
      <c r="C28" s="4">
        <v>660000</v>
      </c>
      <c r="D28" s="4">
        <v>15.61</v>
      </c>
      <c r="E28" s="4">
        <v>8302800</v>
      </c>
      <c r="F28" s="4">
        <v>5200</v>
      </c>
      <c r="G28" s="12">
        <f t="shared" si="1"/>
        <v>12.58</v>
      </c>
      <c r="H28" s="12">
        <f t="shared" si="2"/>
        <v>1999800</v>
      </c>
      <c r="I28" s="4">
        <v>999000</v>
      </c>
      <c r="J28" s="12">
        <f t="shared" si="3"/>
        <v>1000800</v>
      </c>
    </row>
    <row r="29" spans="1:10" ht="17.75" customHeight="1" x14ac:dyDescent="0.3">
      <c r="A29" s="11">
        <v>45412</v>
      </c>
      <c r="B29" s="12">
        <f t="shared" si="0"/>
        <v>9300000</v>
      </c>
      <c r="C29" s="4">
        <v>620000</v>
      </c>
      <c r="D29" s="4">
        <v>15</v>
      </c>
      <c r="E29" s="4">
        <v>7564000</v>
      </c>
      <c r="F29" s="4">
        <v>5300</v>
      </c>
      <c r="G29" s="12">
        <f t="shared" si="1"/>
        <v>12.2</v>
      </c>
      <c r="H29" s="12">
        <f t="shared" si="2"/>
        <v>1736000</v>
      </c>
      <c r="I29" s="4">
        <v>993000</v>
      </c>
      <c r="J29" s="12">
        <f t="shared" si="3"/>
        <v>743000</v>
      </c>
    </row>
    <row r="30" spans="1:10" ht="17.75" customHeight="1" x14ac:dyDescent="0.3">
      <c r="A30" s="11">
        <v>45443</v>
      </c>
      <c r="B30" s="12">
        <f t="shared" si="0"/>
        <v>10744500</v>
      </c>
      <c r="C30" s="4">
        <v>650000</v>
      </c>
      <c r="D30" s="4">
        <v>16.53</v>
      </c>
      <c r="E30" s="4">
        <v>7793500</v>
      </c>
      <c r="F30" s="4">
        <v>5450</v>
      </c>
      <c r="G30" s="12">
        <f t="shared" si="1"/>
        <v>11.99</v>
      </c>
      <c r="H30" s="12">
        <f t="shared" si="2"/>
        <v>2951000</v>
      </c>
      <c r="I30" s="4">
        <v>997500</v>
      </c>
      <c r="J30" s="12">
        <f t="shared" si="3"/>
        <v>1953500</v>
      </c>
    </row>
    <row r="31" spans="1:10" ht="17.75" customHeight="1" x14ac:dyDescent="0.3">
      <c r="A31" s="11">
        <v>45473</v>
      </c>
      <c r="B31" s="12">
        <f t="shared" si="0"/>
        <v>10120500</v>
      </c>
      <c r="C31" s="4">
        <v>650000</v>
      </c>
      <c r="D31" s="4">
        <v>15.57</v>
      </c>
      <c r="E31" s="4">
        <v>8541000</v>
      </c>
      <c r="F31" s="4">
        <v>5600</v>
      </c>
      <c r="G31" s="12">
        <f t="shared" si="1"/>
        <v>13.14</v>
      </c>
      <c r="H31" s="12">
        <f t="shared" si="2"/>
        <v>1579500</v>
      </c>
      <c r="I31" s="4">
        <v>997500</v>
      </c>
      <c r="J31" s="12">
        <f t="shared" si="3"/>
        <v>582000</v>
      </c>
    </row>
    <row r="32" spans="1:10" ht="17.75" customHeight="1" x14ac:dyDescent="0.3">
      <c r="A32" s="11">
        <v>45504</v>
      </c>
      <c r="B32" s="12">
        <f t="shared" si="0"/>
        <v>9600000</v>
      </c>
      <c r="C32" s="4">
        <v>640000</v>
      </c>
      <c r="D32" s="4">
        <v>15</v>
      </c>
      <c r="E32" s="4">
        <v>8032000</v>
      </c>
      <c r="F32" s="4">
        <v>5800</v>
      </c>
      <c r="G32" s="12">
        <f t="shared" si="1"/>
        <v>12.55</v>
      </c>
      <c r="H32" s="12">
        <f t="shared" si="2"/>
        <v>1568000</v>
      </c>
      <c r="I32" s="4">
        <v>996000</v>
      </c>
      <c r="J32" s="12">
        <f t="shared" si="3"/>
        <v>572000</v>
      </c>
    </row>
    <row r="33" spans="1:10" ht="17.75" customHeight="1" x14ac:dyDescent="0.3">
      <c r="A33" s="11">
        <v>45535</v>
      </c>
      <c r="B33" s="12">
        <f t="shared" si="0"/>
        <v>9900000</v>
      </c>
      <c r="C33" s="4">
        <v>660000</v>
      </c>
      <c r="D33" s="4">
        <v>15</v>
      </c>
      <c r="E33" s="4">
        <v>8466000</v>
      </c>
      <c r="F33" s="4">
        <v>5900</v>
      </c>
      <c r="G33" s="12">
        <f t="shared" si="1"/>
        <v>12.827272727272728</v>
      </c>
      <c r="H33" s="12">
        <f t="shared" si="2"/>
        <v>1434000</v>
      </c>
      <c r="I33" s="4">
        <v>999000</v>
      </c>
      <c r="J33" s="12">
        <f t="shared" si="3"/>
        <v>435000</v>
      </c>
    </row>
    <row r="34" spans="1:10" ht="17.75" customHeight="1" x14ac:dyDescent="0.3">
      <c r="A34" s="11">
        <v>45565</v>
      </c>
      <c r="B34" s="12">
        <f t="shared" si="0"/>
        <v>10050000</v>
      </c>
      <c r="C34" s="4">
        <v>670000</v>
      </c>
      <c r="D34" s="4">
        <v>15</v>
      </c>
      <c r="E34" s="4">
        <v>8120300</v>
      </c>
      <c r="F34" s="4">
        <v>5700</v>
      </c>
      <c r="G34" s="12">
        <f t="shared" si="1"/>
        <v>12.119850746268657</v>
      </c>
      <c r="H34" s="12">
        <f t="shared" si="2"/>
        <v>1929700</v>
      </c>
      <c r="I34" s="4">
        <v>1000500</v>
      </c>
      <c r="J34" s="12">
        <f t="shared" si="3"/>
        <v>929200</v>
      </c>
    </row>
    <row r="35" spans="1:10" ht="17.75" customHeight="1" x14ac:dyDescent="0.3">
      <c r="A35" s="11">
        <v>45596</v>
      </c>
      <c r="B35" s="12">
        <f t="shared" si="0"/>
        <v>10500000</v>
      </c>
      <c r="C35" s="4">
        <v>700000</v>
      </c>
      <c r="D35" s="4">
        <v>15</v>
      </c>
      <c r="E35" s="4">
        <v>8260000</v>
      </c>
      <c r="F35" s="4">
        <v>5550</v>
      </c>
      <c r="G35" s="12">
        <f t="shared" si="1"/>
        <v>11.8</v>
      </c>
      <c r="H35" s="12">
        <f t="shared" si="2"/>
        <v>2240000</v>
      </c>
      <c r="I35" s="4">
        <v>1005000</v>
      </c>
      <c r="J35" s="12">
        <f t="shared" si="3"/>
        <v>1235000</v>
      </c>
    </row>
    <row r="36" spans="1:10" ht="17.75" customHeight="1" x14ac:dyDescent="0.3">
      <c r="A36" s="11">
        <v>45626</v>
      </c>
      <c r="B36" s="12">
        <f t="shared" si="0"/>
        <v>10563900</v>
      </c>
      <c r="C36" s="4">
        <v>690000</v>
      </c>
      <c r="D36" s="4">
        <v>15.31</v>
      </c>
      <c r="E36" s="4">
        <v>8625000</v>
      </c>
      <c r="F36" s="4">
        <v>5600</v>
      </c>
      <c r="G36" s="12">
        <f t="shared" si="1"/>
        <v>12.5</v>
      </c>
      <c r="H36" s="12">
        <f t="shared" si="2"/>
        <v>1938900</v>
      </c>
      <c r="I36" s="4">
        <v>1003500</v>
      </c>
      <c r="J36" s="12">
        <f t="shared" si="3"/>
        <v>935400</v>
      </c>
    </row>
    <row r="37" spans="1:10" ht="17.75" customHeight="1" x14ac:dyDescent="0.3">
      <c r="A37" s="11">
        <v>45657</v>
      </c>
      <c r="B37" s="12">
        <f t="shared" si="0"/>
        <v>10274400</v>
      </c>
      <c r="C37" s="4">
        <v>720000</v>
      </c>
      <c r="D37" s="4">
        <v>14.27</v>
      </c>
      <c r="E37" s="4">
        <v>8712000</v>
      </c>
      <c r="F37" s="4">
        <v>5700</v>
      </c>
      <c r="G37" s="12">
        <f t="shared" si="1"/>
        <v>12.1</v>
      </c>
      <c r="H37" s="12">
        <f t="shared" si="2"/>
        <v>1562400</v>
      </c>
      <c r="I37" s="4">
        <v>1008000</v>
      </c>
      <c r="J37" s="12">
        <f t="shared" si="3"/>
        <v>554400</v>
      </c>
    </row>
    <row r="38" spans="1:10" x14ac:dyDescent="0.3"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3"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3"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3"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3"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3"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3"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3"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3"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3">
      <c r="B48" s="12"/>
      <c r="C48" s="12"/>
      <c r="D48" s="12"/>
      <c r="E48" s="12"/>
      <c r="F48" s="12"/>
      <c r="G48" s="12"/>
      <c r="H48" s="12"/>
      <c r="I48" s="12"/>
      <c r="J48" s="12"/>
    </row>
    <row r="49" spans="2:10" x14ac:dyDescent="0.3">
      <c r="B49" s="12"/>
      <c r="C49" s="12"/>
      <c r="D49" s="12"/>
      <c r="E49" s="12"/>
      <c r="F49" s="12"/>
      <c r="G49" s="12"/>
      <c r="H49" s="12"/>
      <c r="I49" s="12"/>
      <c r="J49" s="12"/>
    </row>
  </sheetData>
  <autoFilter ref="A1:J37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D7B8-F291-47AA-8413-C98716CFFECB}">
  <dimension ref="A1:I49"/>
  <sheetViews>
    <sheetView workbookViewId="0">
      <selection activeCell="B9" sqref="B9"/>
    </sheetView>
  </sheetViews>
  <sheetFormatPr defaultRowHeight="13.5" x14ac:dyDescent="0.3"/>
  <cols>
    <col min="1" max="1" width="13" style="1" customWidth="1"/>
    <col min="2" max="2" width="22.46484375" style="2" customWidth="1"/>
    <col min="3" max="3" width="20.59765625" style="2" customWidth="1"/>
    <col min="4" max="4" width="21.73046875" customWidth="1"/>
    <col min="5" max="5" width="23.46484375" customWidth="1"/>
    <col min="6" max="6" width="20.796875" customWidth="1"/>
    <col min="7" max="8" width="21.3984375" customWidth="1"/>
    <col min="9" max="9" width="17.9296875" customWidth="1"/>
  </cols>
  <sheetData>
    <row r="1" spans="1:9" s="14" customFormat="1" ht="15.75" x14ac:dyDescent="0.3">
      <c r="A1" s="15" t="s">
        <v>12</v>
      </c>
      <c r="B1" s="5" t="s">
        <v>0</v>
      </c>
      <c r="C1" s="5" t="s">
        <v>1</v>
      </c>
      <c r="D1" s="5" t="s">
        <v>22</v>
      </c>
      <c r="E1" s="5" t="s">
        <v>2</v>
      </c>
      <c r="F1" s="5" t="s">
        <v>11</v>
      </c>
      <c r="G1" s="5" t="s">
        <v>24</v>
      </c>
      <c r="H1" s="5" t="s">
        <v>10</v>
      </c>
      <c r="I1" s="5" t="s">
        <v>3</v>
      </c>
    </row>
    <row r="2" spans="1:9" x14ac:dyDescent="0.3">
      <c r="A2" s="1">
        <v>44592</v>
      </c>
      <c r="B2" s="2">
        <v>1900000</v>
      </c>
      <c r="C2" s="4">
        <v>400000</v>
      </c>
      <c r="D2" s="2">
        <f>销售与成本!C2</f>
        <v>550000</v>
      </c>
      <c r="E2" s="4">
        <f>B2+C2-D2</f>
        <v>1750000</v>
      </c>
      <c r="F2" s="4">
        <f>销售与成本!G2</f>
        <v>14.890909090909091</v>
      </c>
      <c r="G2" s="2">
        <f>E2*F2</f>
        <v>26059090.90909091</v>
      </c>
      <c r="H2" s="2">
        <f>销售与成本!E2</f>
        <v>8190000</v>
      </c>
      <c r="I2" s="4">
        <f>((B2+E2)/2)*F2*30/H2</f>
        <v>99.545454545454547</v>
      </c>
    </row>
    <row r="3" spans="1:9" x14ac:dyDescent="0.3">
      <c r="A3" s="1">
        <v>44620</v>
      </c>
      <c r="B3" s="2">
        <f>E2</f>
        <v>1750000</v>
      </c>
      <c r="C3" s="4">
        <v>370000</v>
      </c>
      <c r="D3" s="2">
        <f>销售与成本!C3</f>
        <v>520000</v>
      </c>
      <c r="E3" s="4">
        <f t="shared" ref="E3:E37" si="0">B3+C3-D3</f>
        <v>1600000</v>
      </c>
      <c r="F3" s="4">
        <f>销售与成本!G3</f>
        <v>15.05</v>
      </c>
      <c r="G3" s="2">
        <f t="shared" ref="G3:G37" si="1">E3*F3</f>
        <v>24080000</v>
      </c>
      <c r="H3" s="2">
        <f>销售与成本!E3</f>
        <v>7826000</v>
      </c>
      <c r="I3" s="4">
        <f t="shared" ref="I3:I36" si="2">((B3+E3)/2)*F3*30/H3</f>
        <v>96.634615384615387</v>
      </c>
    </row>
    <row r="4" spans="1:9" x14ac:dyDescent="0.3">
      <c r="A4" s="1">
        <v>44651</v>
      </c>
      <c r="B4" s="2">
        <f t="shared" ref="B4:B37" si="3">E3</f>
        <v>1600000</v>
      </c>
      <c r="C4" s="4">
        <v>350000</v>
      </c>
      <c r="D4" s="2">
        <f>销售与成本!C4</f>
        <v>500000</v>
      </c>
      <c r="E4" s="4">
        <f t="shared" si="0"/>
        <v>1450000</v>
      </c>
      <c r="F4" s="4">
        <f>销售与成本!G4</f>
        <v>14.66</v>
      </c>
      <c r="G4" s="2">
        <f t="shared" si="1"/>
        <v>21257000</v>
      </c>
      <c r="H4" s="2">
        <f>销售与成本!E4</f>
        <v>7330000</v>
      </c>
      <c r="I4" s="4">
        <f>((B4+E4)/2)*F4*30/H4</f>
        <v>91.5</v>
      </c>
    </row>
    <row r="5" spans="1:9" x14ac:dyDescent="0.3">
      <c r="A5" s="1">
        <v>44681</v>
      </c>
      <c r="B5" s="2">
        <f t="shared" si="3"/>
        <v>1450000</v>
      </c>
      <c r="C5" s="4">
        <v>350000</v>
      </c>
      <c r="D5" s="2">
        <f>销售与成本!C5</f>
        <v>480000</v>
      </c>
      <c r="E5" s="4">
        <f t="shared" si="0"/>
        <v>1320000</v>
      </c>
      <c r="F5" s="4">
        <f>销售与成本!G5</f>
        <v>14.31</v>
      </c>
      <c r="G5" s="2">
        <f t="shared" si="1"/>
        <v>18889200</v>
      </c>
      <c r="H5" s="2">
        <f>销售与成本!E5</f>
        <v>6868800</v>
      </c>
      <c r="I5" s="4">
        <f t="shared" si="2"/>
        <v>86.5625</v>
      </c>
    </row>
    <row r="6" spans="1:9" x14ac:dyDescent="0.3">
      <c r="A6" s="1">
        <v>44712</v>
      </c>
      <c r="B6" s="2">
        <f t="shared" si="3"/>
        <v>1320000</v>
      </c>
      <c r="C6" s="4">
        <v>340000</v>
      </c>
      <c r="D6" s="2">
        <f>销售与成本!C6</f>
        <v>460000</v>
      </c>
      <c r="E6" s="4">
        <f t="shared" si="0"/>
        <v>1200000</v>
      </c>
      <c r="F6" s="4">
        <f>销售与成本!G6</f>
        <v>14.338260869565218</v>
      </c>
      <c r="G6" s="2">
        <f t="shared" si="1"/>
        <v>17205913.043478262</v>
      </c>
      <c r="H6" s="2">
        <f>销售与成本!E6</f>
        <v>6595600</v>
      </c>
      <c r="I6" s="4">
        <f t="shared" si="2"/>
        <v>82.173913043478265</v>
      </c>
    </row>
    <row r="7" spans="1:9" x14ac:dyDescent="0.3">
      <c r="A7" s="1">
        <v>44742</v>
      </c>
      <c r="B7" s="2">
        <f t="shared" si="3"/>
        <v>1200000</v>
      </c>
      <c r="C7" s="4">
        <v>380000</v>
      </c>
      <c r="D7" s="2">
        <f>销售与成本!C7</f>
        <v>450000</v>
      </c>
      <c r="E7" s="4">
        <f t="shared" si="0"/>
        <v>1130000</v>
      </c>
      <c r="F7" s="4">
        <f>销售与成本!G7</f>
        <v>15.64</v>
      </c>
      <c r="G7" s="2">
        <f t="shared" si="1"/>
        <v>17673200</v>
      </c>
      <c r="H7" s="2">
        <f>销售与成本!E7</f>
        <v>7038000</v>
      </c>
      <c r="I7" s="4">
        <f t="shared" si="2"/>
        <v>77.666666666666671</v>
      </c>
    </row>
    <row r="8" spans="1:9" x14ac:dyDescent="0.3">
      <c r="A8" s="1">
        <v>44773</v>
      </c>
      <c r="B8" s="2">
        <f t="shared" si="3"/>
        <v>1130000</v>
      </c>
      <c r="C8" s="4">
        <v>400000</v>
      </c>
      <c r="D8" s="2">
        <f>销售与成本!C8</f>
        <v>460000</v>
      </c>
      <c r="E8" s="4">
        <f t="shared" si="0"/>
        <v>1070000</v>
      </c>
      <c r="F8" s="4">
        <f>销售与成本!G8</f>
        <v>14.501739130434782</v>
      </c>
      <c r="G8" s="2">
        <f t="shared" si="1"/>
        <v>15516860.869565217</v>
      </c>
      <c r="H8" s="2">
        <f>销售与成本!E8</f>
        <v>6670800</v>
      </c>
      <c r="I8" s="4">
        <f t="shared" si="2"/>
        <v>71.739130434782609</v>
      </c>
    </row>
    <row r="9" spans="1:9" x14ac:dyDescent="0.3">
      <c r="A9" s="1">
        <v>44804</v>
      </c>
      <c r="B9" s="2">
        <f t="shared" si="3"/>
        <v>1070000</v>
      </c>
      <c r="C9" s="4">
        <v>420000</v>
      </c>
      <c r="D9" s="2">
        <f>销售与成本!C9</f>
        <v>470000</v>
      </c>
      <c r="E9" s="4">
        <f t="shared" si="0"/>
        <v>1020000</v>
      </c>
      <c r="F9" s="4">
        <f>销售与成本!G9</f>
        <v>14.601914893617021</v>
      </c>
      <c r="G9" s="2">
        <f t="shared" si="1"/>
        <v>14893953.191489361</v>
      </c>
      <c r="H9" s="2">
        <f>销售与成本!E9</f>
        <v>6862900</v>
      </c>
      <c r="I9" s="4">
        <f t="shared" si="2"/>
        <v>66.702127659574472</v>
      </c>
    </row>
    <row r="10" spans="1:9" x14ac:dyDescent="0.3">
      <c r="A10" s="1">
        <v>44834</v>
      </c>
      <c r="B10" s="2">
        <f t="shared" si="3"/>
        <v>1020000</v>
      </c>
      <c r="C10" s="4">
        <v>450000</v>
      </c>
      <c r="D10" s="2">
        <f>销售与成本!C10</f>
        <v>480000</v>
      </c>
      <c r="E10" s="4">
        <f t="shared" si="0"/>
        <v>990000</v>
      </c>
      <c r="F10" s="4">
        <f>销售与成本!G10</f>
        <v>14.85</v>
      </c>
      <c r="G10" s="2">
        <f t="shared" si="1"/>
        <v>14701500</v>
      </c>
      <c r="H10" s="2">
        <f>销售与成本!E10</f>
        <v>7128000</v>
      </c>
      <c r="I10" s="4">
        <f t="shared" si="2"/>
        <v>62.8125</v>
      </c>
    </row>
    <row r="11" spans="1:9" x14ac:dyDescent="0.3">
      <c r="A11" s="1">
        <v>44865</v>
      </c>
      <c r="B11" s="2">
        <f t="shared" si="3"/>
        <v>990000</v>
      </c>
      <c r="C11" s="4">
        <v>500000</v>
      </c>
      <c r="D11" s="2">
        <f>销售与成本!C11</f>
        <v>450000</v>
      </c>
      <c r="E11" s="4">
        <f t="shared" si="0"/>
        <v>1040000</v>
      </c>
      <c r="F11" s="4">
        <f>销售与成本!G11</f>
        <v>15</v>
      </c>
      <c r="G11" s="2">
        <f t="shared" si="1"/>
        <v>15600000</v>
      </c>
      <c r="H11" s="2">
        <f>销售与成本!E11</f>
        <v>6750000</v>
      </c>
      <c r="I11" s="4">
        <f t="shared" si="2"/>
        <v>67.666666666666671</v>
      </c>
    </row>
    <row r="12" spans="1:9" x14ac:dyDescent="0.3">
      <c r="A12" s="1">
        <v>44895</v>
      </c>
      <c r="B12" s="2">
        <f t="shared" si="3"/>
        <v>1040000</v>
      </c>
      <c r="C12" s="4">
        <v>450000</v>
      </c>
      <c r="D12" s="2">
        <f>销售与成本!C12</f>
        <v>440000</v>
      </c>
      <c r="E12" s="4">
        <f t="shared" si="0"/>
        <v>1050000</v>
      </c>
      <c r="F12" s="4">
        <f>销售与成本!G12</f>
        <v>13</v>
      </c>
      <c r="G12" s="2">
        <f t="shared" si="1"/>
        <v>13650000</v>
      </c>
      <c r="H12" s="2">
        <f>销售与成本!E12</f>
        <v>5720000</v>
      </c>
      <c r="I12" s="4">
        <f t="shared" si="2"/>
        <v>71.25</v>
      </c>
    </row>
    <row r="13" spans="1:9" x14ac:dyDescent="0.3">
      <c r="A13" s="1">
        <v>44926</v>
      </c>
      <c r="B13" s="2">
        <f t="shared" si="3"/>
        <v>1050000</v>
      </c>
      <c r="C13" s="4">
        <v>450000</v>
      </c>
      <c r="D13" s="2">
        <f>销售与成本!C13</f>
        <v>450000</v>
      </c>
      <c r="E13" s="4">
        <f t="shared" si="0"/>
        <v>1050000</v>
      </c>
      <c r="F13" s="4">
        <f>销售与成本!G13</f>
        <v>13.01</v>
      </c>
      <c r="G13" s="2">
        <f t="shared" si="1"/>
        <v>13660500</v>
      </c>
      <c r="H13" s="2">
        <f>销售与成本!E13</f>
        <v>5854500</v>
      </c>
      <c r="I13" s="4">
        <f t="shared" si="2"/>
        <v>70</v>
      </c>
    </row>
    <row r="14" spans="1:9" x14ac:dyDescent="0.3">
      <c r="A14" s="1">
        <v>44957</v>
      </c>
      <c r="B14" s="2">
        <f t="shared" si="3"/>
        <v>1050000</v>
      </c>
      <c r="C14" s="4">
        <v>480000</v>
      </c>
      <c r="D14" s="2">
        <f>销售与成本!C14</f>
        <v>480000</v>
      </c>
      <c r="E14" s="4">
        <f t="shared" si="0"/>
        <v>1050000</v>
      </c>
      <c r="F14" s="4">
        <f>销售与成本!G14</f>
        <v>13.52</v>
      </c>
      <c r="G14" s="2">
        <f t="shared" si="1"/>
        <v>14196000</v>
      </c>
      <c r="H14" s="2">
        <f>销售与成本!E14</f>
        <v>6489600</v>
      </c>
      <c r="I14" s="4">
        <f t="shared" si="2"/>
        <v>65.625</v>
      </c>
    </row>
    <row r="15" spans="1:9" x14ac:dyDescent="0.3">
      <c r="A15" s="1">
        <v>44985</v>
      </c>
      <c r="B15" s="2">
        <f t="shared" si="3"/>
        <v>1050000</v>
      </c>
      <c r="C15" s="4">
        <v>520000</v>
      </c>
      <c r="D15" s="2">
        <f>销售与成本!C15</f>
        <v>500000</v>
      </c>
      <c r="E15" s="4">
        <f t="shared" si="0"/>
        <v>1070000</v>
      </c>
      <c r="F15" s="4">
        <f>销售与成本!G15</f>
        <v>13.4</v>
      </c>
      <c r="G15" s="2">
        <f t="shared" si="1"/>
        <v>14338000</v>
      </c>
      <c r="H15" s="2">
        <f>销售与成本!E15</f>
        <v>6700000</v>
      </c>
      <c r="I15" s="4">
        <f t="shared" si="2"/>
        <v>63.6</v>
      </c>
    </row>
    <row r="16" spans="1:9" x14ac:dyDescent="0.3">
      <c r="A16" s="1">
        <v>45016</v>
      </c>
      <c r="B16" s="2">
        <f t="shared" si="3"/>
        <v>1070000</v>
      </c>
      <c r="C16" s="4">
        <v>550000</v>
      </c>
      <c r="D16" s="2">
        <f>销售与成本!C16</f>
        <v>520000</v>
      </c>
      <c r="E16" s="4">
        <f t="shared" si="0"/>
        <v>1100000</v>
      </c>
      <c r="F16" s="4">
        <f>销售与成本!G16</f>
        <v>13.73</v>
      </c>
      <c r="G16" s="2">
        <f t="shared" si="1"/>
        <v>15103000</v>
      </c>
      <c r="H16" s="2">
        <f>销售与成本!E16</f>
        <v>7139600</v>
      </c>
      <c r="I16" s="4">
        <f t="shared" si="2"/>
        <v>62.596153846153847</v>
      </c>
    </row>
    <row r="17" spans="1:9" x14ac:dyDescent="0.3">
      <c r="A17" s="1">
        <v>45046</v>
      </c>
      <c r="B17" s="2">
        <f t="shared" si="3"/>
        <v>1100000</v>
      </c>
      <c r="C17" s="4">
        <v>560000</v>
      </c>
      <c r="D17" s="2">
        <f>销售与成本!C17</f>
        <v>560000</v>
      </c>
      <c r="E17" s="4">
        <f t="shared" si="0"/>
        <v>1100000</v>
      </c>
      <c r="F17" s="4">
        <f>销售与成本!G17</f>
        <v>12.728571428571428</v>
      </c>
      <c r="G17" s="2">
        <f t="shared" si="1"/>
        <v>14001428.571428571</v>
      </c>
      <c r="H17" s="2">
        <f>销售与成本!E17</f>
        <v>7128000</v>
      </c>
      <c r="I17" s="4">
        <f t="shared" si="2"/>
        <v>58.928571428571431</v>
      </c>
    </row>
    <row r="18" spans="1:9" x14ac:dyDescent="0.3">
      <c r="A18" s="1">
        <v>45077</v>
      </c>
      <c r="B18" s="2">
        <f t="shared" si="3"/>
        <v>1100000</v>
      </c>
      <c r="C18" s="4">
        <v>600000</v>
      </c>
      <c r="D18" s="2">
        <f>销售与成本!C18</f>
        <v>580000</v>
      </c>
      <c r="E18" s="4">
        <f t="shared" si="0"/>
        <v>1120000</v>
      </c>
      <c r="F18" s="4">
        <f>销售与成本!G18</f>
        <v>13.026551724137931</v>
      </c>
      <c r="G18" s="2">
        <f t="shared" si="1"/>
        <v>14589737.931034483</v>
      </c>
      <c r="H18" s="2">
        <f>销售与成本!E18</f>
        <v>7555400</v>
      </c>
      <c r="I18" s="4">
        <f t="shared" si="2"/>
        <v>57.41379310344827</v>
      </c>
    </row>
    <row r="19" spans="1:9" x14ac:dyDescent="0.3">
      <c r="A19" s="1">
        <v>45107</v>
      </c>
      <c r="B19" s="2">
        <f t="shared" si="3"/>
        <v>1120000</v>
      </c>
      <c r="C19" s="4">
        <v>650000</v>
      </c>
      <c r="D19" s="2">
        <f>销售与成本!C19</f>
        <v>600000</v>
      </c>
      <c r="E19" s="4">
        <f t="shared" si="0"/>
        <v>1170000</v>
      </c>
      <c r="F19" s="4">
        <f>销售与成本!G19</f>
        <v>12.36</v>
      </c>
      <c r="G19" s="2">
        <f t="shared" si="1"/>
        <v>14461200</v>
      </c>
      <c r="H19" s="2">
        <f>销售与成本!E19</f>
        <v>7416000</v>
      </c>
      <c r="I19" s="4">
        <f t="shared" si="2"/>
        <v>57.25</v>
      </c>
    </row>
    <row r="20" spans="1:9" x14ac:dyDescent="0.3">
      <c r="A20" s="1">
        <v>45138</v>
      </c>
      <c r="B20" s="2">
        <f t="shared" si="3"/>
        <v>1170000</v>
      </c>
      <c r="C20" s="4">
        <v>600000</v>
      </c>
      <c r="D20" s="2">
        <f>销售与成本!C20</f>
        <v>580000</v>
      </c>
      <c r="E20" s="4">
        <f t="shared" si="0"/>
        <v>1190000</v>
      </c>
      <c r="F20" s="4">
        <f>销售与成本!G20</f>
        <v>13.5</v>
      </c>
      <c r="G20" s="2">
        <f t="shared" si="1"/>
        <v>16065000</v>
      </c>
      <c r="H20" s="2">
        <f>销售与成本!E20</f>
        <v>7830000</v>
      </c>
      <c r="I20" s="4">
        <f t="shared" si="2"/>
        <v>61.03448275862069</v>
      </c>
    </row>
    <row r="21" spans="1:9" x14ac:dyDescent="0.3">
      <c r="A21" s="1">
        <v>45169</v>
      </c>
      <c r="B21" s="2">
        <f t="shared" si="3"/>
        <v>1190000</v>
      </c>
      <c r="C21" s="4">
        <v>650000</v>
      </c>
      <c r="D21" s="2">
        <f>销售与成本!C21</f>
        <v>600000</v>
      </c>
      <c r="E21" s="4">
        <f t="shared" si="0"/>
        <v>1240000</v>
      </c>
      <c r="F21" s="4">
        <f>销售与成本!G21</f>
        <v>12.62</v>
      </c>
      <c r="G21" s="2">
        <f t="shared" si="1"/>
        <v>15648799.999999998</v>
      </c>
      <c r="H21" s="2">
        <f>销售与成本!E21</f>
        <v>7572000</v>
      </c>
      <c r="I21" s="4">
        <f t="shared" si="2"/>
        <v>60.749999999999993</v>
      </c>
    </row>
    <row r="22" spans="1:9" x14ac:dyDescent="0.3">
      <c r="A22" s="1">
        <v>45199</v>
      </c>
      <c r="B22" s="2">
        <f t="shared" si="3"/>
        <v>1240000</v>
      </c>
      <c r="C22" s="4">
        <v>680000</v>
      </c>
      <c r="D22" s="2">
        <f>销售与成本!C22</f>
        <v>620000</v>
      </c>
      <c r="E22" s="4">
        <f t="shared" si="0"/>
        <v>1300000</v>
      </c>
      <c r="F22" s="4">
        <f>销售与成本!G22</f>
        <v>12.980322580645161</v>
      </c>
      <c r="G22" s="2">
        <f t="shared" si="1"/>
        <v>16874419.35483871</v>
      </c>
      <c r="H22" s="2">
        <f>销售与成本!E22</f>
        <v>8047800</v>
      </c>
      <c r="I22" s="4">
        <f t="shared" si="2"/>
        <v>61.451612903225808</v>
      </c>
    </row>
    <row r="23" spans="1:9" x14ac:dyDescent="0.3">
      <c r="A23" s="1">
        <v>45230</v>
      </c>
      <c r="B23" s="2">
        <f t="shared" si="3"/>
        <v>1300000</v>
      </c>
      <c r="C23" s="4">
        <v>700000</v>
      </c>
      <c r="D23" s="2">
        <f>销售与成本!C23</f>
        <v>630000</v>
      </c>
      <c r="E23" s="4">
        <f t="shared" si="0"/>
        <v>1370000</v>
      </c>
      <c r="F23" s="4">
        <f>销售与成本!G23</f>
        <v>12.832698412698413</v>
      </c>
      <c r="G23" s="2">
        <f t="shared" si="1"/>
        <v>17580796.825396825</v>
      </c>
      <c r="H23" s="2">
        <f>销售与成本!E23</f>
        <v>8084600</v>
      </c>
      <c r="I23" s="4">
        <f t="shared" si="2"/>
        <v>63.571428571428569</v>
      </c>
    </row>
    <row r="24" spans="1:9" x14ac:dyDescent="0.3">
      <c r="A24" s="1">
        <v>45260</v>
      </c>
      <c r="B24" s="2">
        <f t="shared" si="3"/>
        <v>1370000</v>
      </c>
      <c r="C24" s="4">
        <v>750000</v>
      </c>
      <c r="D24" s="2">
        <f>销售与成本!C24</f>
        <v>650000</v>
      </c>
      <c r="E24" s="4">
        <f t="shared" si="0"/>
        <v>1470000</v>
      </c>
      <c r="F24" s="4">
        <f>销售与成本!G24</f>
        <v>12.8</v>
      </c>
      <c r="G24" s="2">
        <f t="shared" si="1"/>
        <v>18816000</v>
      </c>
      <c r="H24" s="2">
        <f>销售与成本!E24</f>
        <v>8320000</v>
      </c>
      <c r="I24" s="4">
        <f t="shared" si="2"/>
        <v>65.538461538461533</v>
      </c>
    </row>
    <row r="25" spans="1:9" x14ac:dyDescent="0.3">
      <c r="A25" s="1">
        <v>45291</v>
      </c>
      <c r="B25" s="2">
        <f t="shared" si="3"/>
        <v>1470000</v>
      </c>
      <c r="C25" s="4">
        <v>700000</v>
      </c>
      <c r="D25" s="2">
        <f>销售与成本!C25</f>
        <v>650000</v>
      </c>
      <c r="E25" s="4">
        <f t="shared" si="0"/>
        <v>1520000</v>
      </c>
      <c r="F25" s="4">
        <f>销售与成本!G25</f>
        <v>12.96</v>
      </c>
      <c r="G25" s="2">
        <f t="shared" si="1"/>
        <v>19699200</v>
      </c>
      <c r="H25" s="2">
        <f>销售与成本!E25</f>
        <v>8424000</v>
      </c>
      <c r="I25" s="4">
        <f t="shared" si="2"/>
        <v>69</v>
      </c>
    </row>
    <row r="26" spans="1:9" x14ac:dyDescent="0.3">
      <c r="A26" s="1">
        <v>45322</v>
      </c>
      <c r="B26" s="2">
        <f t="shared" si="3"/>
        <v>1520000</v>
      </c>
      <c r="C26" s="4">
        <v>780000</v>
      </c>
      <c r="D26" s="2">
        <f>销售与成本!C26</f>
        <v>680000</v>
      </c>
      <c r="E26" s="4">
        <f t="shared" si="0"/>
        <v>1620000</v>
      </c>
      <c r="F26" s="4">
        <f>销售与成本!G26</f>
        <v>11.98</v>
      </c>
      <c r="G26" s="2">
        <f t="shared" si="1"/>
        <v>19407600</v>
      </c>
      <c r="H26" s="2">
        <f>销售与成本!E26</f>
        <v>8146400</v>
      </c>
      <c r="I26" s="4">
        <f t="shared" si="2"/>
        <v>69.264705882352942</v>
      </c>
    </row>
    <row r="27" spans="1:9" x14ac:dyDescent="0.3">
      <c r="A27" s="1">
        <v>45351</v>
      </c>
      <c r="B27" s="2">
        <f t="shared" si="3"/>
        <v>1620000</v>
      </c>
      <c r="C27" s="4">
        <v>750000</v>
      </c>
      <c r="D27" s="2">
        <f>销售与成本!C27</f>
        <v>670000</v>
      </c>
      <c r="E27" s="4">
        <f t="shared" si="0"/>
        <v>1700000</v>
      </c>
      <c r="F27" s="4">
        <f>销售与成本!G27</f>
        <v>12.17</v>
      </c>
      <c r="G27" s="2">
        <f t="shared" si="1"/>
        <v>20689000</v>
      </c>
      <c r="H27" s="2">
        <f>销售与成本!E27</f>
        <v>8153900</v>
      </c>
      <c r="I27" s="4">
        <f t="shared" si="2"/>
        <v>74.328358208955223</v>
      </c>
    </row>
    <row r="28" spans="1:9" x14ac:dyDescent="0.3">
      <c r="A28" s="1">
        <v>45382</v>
      </c>
      <c r="B28" s="2">
        <f t="shared" si="3"/>
        <v>1700000</v>
      </c>
      <c r="C28" s="4">
        <v>720000</v>
      </c>
      <c r="D28" s="2">
        <f>销售与成本!C28</f>
        <v>660000</v>
      </c>
      <c r="E28" s="4">
        <f t="shared" si="0"/>
        <v>1760000</v>
      </c>
      <c r="F28" s="4">
        <f>销售与成本!G28</f>
        <v>12.58</v>
      </c>
      <c r="G28" s="2">
        <f t="shared" si="1"/>
        <v>22140800</v>
      </c>
      <c r="H28" s="2">
        <f>销售与成本!E28</f>
        <v>8302800</v>
      </c>
      <c r="I28" s="4">
        <f t="shared" si="2"/>
        <v>78.63636363636364</v>
      </c>
    </row>
    <row r="29" spans="1:9" x14ac:dyDescent="0.3">
      <c r="A29" s="1">
        <v>45412</v>
      </c>
      <c r="B29" s="2">
        <f t="shared" si="3"/>
        <v>1760000</v>
      </c>
      <c r="C29" s="4">
        <v>680000</v>
      </c>
      <c r="D29" s="2">
        <f>销售与成本!C29</f>
        <v>620000</v>
      </c>
      <c r="E29" s="4">
        <f t="shared" si="0"/>
        <v>1820000</v>
      </c>
      <c r="F29" s="4">
        <f>销售与成本!G29</f>
        <v>12.2</v>
      </c>
      <c r="G29" s="2">
        <f t="shared" si="1"/>
        <v>22204000</v>
      </c>
      <c r="H29" s="2">
        <f>销售与成本!E29</f>
        <v>7564000</v>
      </c>
      <c r="I29" s="4">
        <f t="shared" si="2"/>
        <v>86.612903225806448</v>
      </c>
    </row>
    <row r="30" spans="1:9" x14ac:dyDescent="0.3">
      <c r="A30" s="1">
        <v>45443</v>
      </c>
      <c r="B30" s="2">
        <f t="shared" si="3"/>
        <v>1820000</v>
      </c>
      <c r="C30" s="4">
        <v>700000</v>
      </c>
      <c r="D30" s="2">
        <f>销售与成本!C30</f>
        <v>650000</v>
      </c>
      <c r="E30" s="4">
        <f t="shared" si="0"/>
        <v>1870000</v>
      </c>
      <c r="F30" s="4">
        <f>销售与成本!G30</f>
        <v>11.99</v>
      </c>
      <c r="G30" s="2">
        <f t="shared" si="1"/>
        <v>22421300</v>
      </c>
      <c r="H30" s="2">
        <f>销售与成本!E30</f>
        <v>7793500</v>
      </c>
      <c r="I30" s="4">
        <f t="shared" si="2"/>
        <v>85.15384615384616</v>
      </c>
    </row>
    <row r="31" spans="1:9" x14ac:dyDescent="0.3">
      <c r="A31" s="1">
        <v>45473</v>
      </c>
      <c r="B31" s="2">
        <f t="shared" si="3"/>
        <v>1870000</v>
      </c>
      <c r="C31" s="4">
        <v>720000</v>
      </c>
      <c r="D31" s="2">
        <f>销售与成本!C31</f>
        <v>650000</v>
      </c>
      <c r="E31" s="4">
        <f t="shared" si="0"/>
        <v>1940000</v>
      </c>
      <c r="F31" s="4">
        <f>销售与成本!G31</f>
        <v>13.14</v>
      </c>
      <c r="G31" s="2">
        <f t="shared" si="1"/>
        <v>25491600</v>
      </c>
      <c r="H31" s="2">
        <f>销售与成本!E31</f>
        <v>8541000</v>
      </c>
      <c r="I31" s="4">
        <f t="shared" si="2"/>
        <v>87.92307692307692</v>
      </c>
    </row>
    <row r="32" spans="1:9" x14ac:dyDescent="0.3">
      <c r="A32" s="1">
        <v>45504</v>
      </c>
      <c r="B32" s="2">
        <f t="shared" si="3"/>
        <v>1940000</v>
      </c>
      <c r="C32" s="4">
        <v>700000</v>
      </c>
      <c r="D32" s="2">
        <f>销售与成本!C32</f>
        <v>640000</v>
      </c>
      <c r="E32" s="4">
        <f t="shared" si="0"/>
        <v>2000000</v>
      </c>
      <c r="F32" s="4">
        <f>销售与成本!G32</f>
        <v>12.55</v>
      </c>
      <c r="G32" s="2">
        <f t="shared" si="1"/>
        <v>25100000</v>
      </c>
      <c r="H32" s="2">
        <f>销售与成本!E32</f>
        <v>8032000</v>
      </c>
      <c r="I32" s="4">
        <f t="shared" si="2"/>
        <v>92.34375</v>
      </c>
    </row>
    <row r="33" spans="1:9" x14ac:dyDescent="0.3">
      <c r="A33" s="1">
        <v>45535</v>
      </c>
      <c r="B33" s="2">
        <f t="shared" si="3"/>
        <v>2000000</v>
      </c>
      <c r="C33" s="4">
        <v>750000</v>
      </c>
      <c r="D33" s="2">
        <f>销售与成本!C33</f>
        <v>660000</v>
      </c>
      <c r="E33" s="4">
        <f t="shared" si="0"/>
        <v>2090000</v>
      </c>
      <c r="F33" s="4">
        <f>销售与成本!G33</f>
        <v>12.827272727272728</v>
      </c>
      <c r="G33" s="2">
        <f t="shared" si="1"/>
        <v>26809000</v>
      </c>
      <c r="H33" s="2">
        <f>销售与成本!E33</f>
        <v>8466000</v>
      </c>
      <c r="I33" s="4">
        <f t="shared" si="2"/>
        <v>92.954545454545467</v>
      </c>
    </row>
    <row r="34" spans="1:9" x14ac:dyDescent="0.3">
      <c r="A34" s="1">
        <v>45565</v>
      </c>
      <c r="B34" s="2">
        <f t="shared" si="3"/>
        <v>2090000</v>
      </c>
      <c r="C34" s="4">
        <v>780000</v>
      </c>
      <c r="D34" s="2">
        <f>销售与成本!C34</f>
        <v>670000</v>
      </c>
      <c r="E34" s="4">
        <f t="shared" si="0"/>
        <v>2200000</v>
      </c>
      <c r="F34" s="4">
        <f>销售与成本!G34</f>
        <v>12.119850746268657</v>
      </c>
      <c r="G34" s="2">
        <f t="shared" si="1"/>
        <v>26663671.641791046</v>
      </c>
      <c r="H34" s="2">
        <f>销售与成本!E34</f>
        <v>8120300</v>
      </c>
      <c r="I34" s="4">
        <f t="shared" si="2"/>
        <v>96.044776119402997</v>
      </c>
    </row>
    <row r="35" spans="1:9" x14ac:dyDescent="0.3">
      <c r="A35" s="1">
        <v>45596</v>
      </c>
      <c r="B35" s="2">
        <f t="shared" si="3"/>
        <v>2200000</v>
      </c>
      <c r="C35" s="4">
        <v>820000</v>
      </c>
      <c r="D35" s="2">
        <f>销售与成本!C35</f>
        <v>700000</v>
      </c>
      <c r="E35" s="4">
        <f t="shared" si="0"/>
        <v>2320000</v>
      </c>
      <c r="F35" s="4">
        <f>销售与成本!G35</f>
        <v>11.8</v>
      </c>
      <c r="G35" s="2">
        <f t="shared" si="1"/>
        <v>27376000</v>
      </c>
      <c r="H35" s="2">
        <f>销售与成本!E35</f>
        <v>8260000</v>
      </c>
      <c r="I35" s="4">
        <f t="shared" si="2"/>
        <v>96.857142857142861</v>
      </c>
    </row>
    <row r="36" spans="1:9" x14ac:dyDescent="0.3">
      <c r="A36" s="1">
        <v>45626</v>
      </c>
      <c r="B36" s="2">
        <f t="shared" si="3"/>
        <v>2320000</v>
      </c>
      <c r="C36" s="4">
        <v>780000</v>
      </c>
      <c r="D36" s="2">
        <f>销售与成本!C36</f>
        <v>690000</v>
      </c>
      <c r="E36" s="4">
        <f t="shared" si="0"/>
        <v>2410000</v>
      </c>
      <c r="F36" s="4">
        <f>销售与成本!G36</f>
        <v>12.5</v>
      </c>
      <c r="G36" s="2">
        <f t="shared" si="1"/>
        <v>30125000</v>
      </c>
      <c r="H36" s="2">
        <f>销售与成本!E36</f>
        <v>8625000</v>
      </c>
      <c r="I36" s="4">
        <f t="shared" si="2"/>
        <v>102.82608695652173</v>
      </c>
    </row>
    <row r="37" spans="1:9" x14ac:dyDescent="0.3">
      <c r="A37" s="1">
        <v>45657</v>
      </c>
      <c r="B37" s="2">
        <f t="shared" si="3"/>
        <v>2410000</v>
      </c>
      <c r="C37" s="4">
        <v>850000</v>
      </c>
      <c r="D37" s="2">
        <f>销售与成本!C37</f>
        <v>720000</v>
      </c>
      <c r="E37" s="4">
        <f t="shared" si="0"/>
        <v>2540000</v>
      </c>
      <c r="F37" s="4">
        <f>销售与成本!G37</f>
        <v>12.1</v>
      </c>
      <c r="G37" s="2">
        <f t="shared" si="1"/>
        <v>30734000</v>
      </c>
      <c r="H37" s="2">
        <f>销售与成本!E37</f>
        <v>8712000</v>
      </c>
      <c r="I37" s="4">
        <f>((B37+E37)/2)*F37*30/H37</f>
        <v>103.125</v>
      </c>
    </row>
    <row r="38" spans="1:9" x14ac:dyDescent="0.3">
      <c r="D38" s="2"/>
    </row>
    <row r="39" spans="1:9" x14ac:dyDescent="0.3">
      <c r="D39" s="2"/>
    </row>
    <row r="40" spans="1:9" x14ac:dyDescent="0.3">
      <c r="D40" s="2"/>
    </row>
    <row r="41" spans="1:9" x14ac:dyDescent="0.3">
      <c r="D41" s="2"/>
    </row>
    <row r="42" spans="1:9" x14ac:dyDescent="0.3">
      <c r="D42" s="2"/>
    </row>
    <row r="43" spans="1:9" x14ac:dyDescent="0.3">
      <c r="D43" s="2"/>
    </row>
    <row r="44" spans="1:9" x14ac:dyDescent="0.3">
      <c r="D44" s="2"/>
    </row>
    <row r="45" spans="1:9" x14ac:dyDescent="0.3">
      <c r="D45" s="2"/>
    </row>
    <row r="46" spans="1:9" x14ac:dyDescent="0.3">
      <c r="D46" s="2"/>
    </row>
    <row r="47" spans="1:9" x14ac:dyDescent="0.3">
      <c r="D47" s="2"/>
    </row>
    <row r="48" spans="1:9" x14ac:dyDescent="0.3">
      <c r="D48" s="2"/>
    </row>
    <row r="49" spans="4:4" x14ac:dyDescent="0.3">
      <c r="D49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01F9-9AD8-4116-A164-059A9752EBC1}">
  <dimension ref="A1:Q37"/>
  <sheetViews>
    <sheetView workbookViewId="0">
      <selection activeCell="D13" sqref="D13"/>
    </sheetView>
  </sheetViews>
  <sheetFormatPr defaultRowHeight="13.5" x14ac:dyDescent="0.3"/>
  <cols>
    <col min="1" max="1" width="11.73046875" style="1" customWidth="1"/>
    <col min="2" max="2" width="19.59765625" customWidth="1"/>
    <col min="3" max="3" width="22.73046875" customWidth="1"/>
    <col min="4" max="4" width="17.59765625" customWidth="1"/>
    <col min="5" max="5" width="18.46484375" customWidth="1"/>
    <col min="6" max="6" width="21.9296875" style="6" customWidth="1"/>
    <col min="9" max="9" width="17.06640625" customWidth="1"/>
    <col min="11" max="11" width="14.33203125" bestFit="1" customWidth="1"/>
    <col min="12" max="12" width="15.3984375" bestFit="1" customWidth="1"/>
    <col min="13" max="13" width="14.33203125" bestFit="1" customWidth="1"/>
    <col min="14" max="15" width="15.3984375" bestFit="1" customWidth="1"/>
    <col min="16" max="17" width="14.33203125" bestFit="1" customWidth="1"/>
  </cols>
  <sheetData>
    <row r="1" spans="1:6" s="14" customFormat="1" ht="15.75" x14ac:dyDescent="0.3">
      <c r="A1" s="15" t="s">
        <v>12</v>
      </c>
      <c r="B1" s="5" t="s">
        <v>4</v>
      </c>
      <c r="C1" s="5" t="s">
        <v>8</v>
      </c>
      <c r="D1" s="5" t="s">
        <v>5</v>
      </c>
      <c r="E1" s="5" t="s">
        <v>7</v>
      </c>
      <c r="F1" s="9" t="s">
        <v>6</v>
      </c>
    </row>
    <row r="2" spans="1:6" x14ac:dyDescent="0.3">
      <c r="A2" s="1">
        <v>44592</v>
      </c>
      <c r="B2" s="4">
        <f>销售与成本!B2</f>
        <v>8250000</v>
      </c>
      <c r="C2" s="4">
        <v>8250000</v>
      </c>
      <c r="D2" s="4">
        <v>16500000</v>
      </c>
      <c r="E2" s="2">
        <f>B2/D2</f>
        <v>0.5</v>
      </c>
      <c r="F2" s="6">
        <f>30/E2</f>
        <v>60</v>
      </c>
    </row>
    <row r="3" spans="1:6" x14ac:dyDescent="0.3">
      <c r="A3" s="1">
        <v>44620</v>
      </c>
      <c r="B3" s="4">
        <f>销售与成本!B3</f>
        <v>7961200</v>
      </c>
      <c r="C3" s="4">
        <v>16211200</v>
      </c>
      <c r="D3" s="4">
        <v>16300000</v>
      </c>
      <c r="E3" s="2">
        <f t="shared" ref="E3:E37" si="0">B3/D3</f>
        <v>0.48841717791411043</v>
      </c>
      <c r="F3" s="6">
        <f t="shared" ref="F3:F37" si="1">30/E3</f>
        <v>61.42290107019042</v>
      </c>
    </row>
    <row r="4" spans="1:6" x14ac:dyDescent="0.3">
      <c r="A4" s="1">
        <v>44651</v>
      </c>
      <c r="B4" s="4">
        <f>销售与成本!B4</f>
        <v>8680000</v>
      </c>
      <c r="C4" s="4">
        <v>24891200</v>
      </c>
      <c r="D4" s="4">
        <v>17100000</v>
      </c>
      <c r="E4" s="2">
        <f t="shared" si="0"/>
        <v>0.5076023391812865</v>
      </c>
      <c r="F4" s="6">
        <f t="shared" si="1"/>
        <v>59.101382488479267</v>
      </c>
    </row>
    <row r="5" spans="1:6" x14ac:dyDescent="0.3">
      <c r="A5" s="1">
        <v>44681</v>
      </c>
      <c r="B5" s="4">
        <f>销售与成本!B5</f>
        <v>7492800</v>
      </c>
      <c r="C5" s="4">
        <v>32384000</v>
      </c>
      <c r="D5" s="4">
        <v>17800000</v>
      </c>
      <c r="E5" s="2">
        <f t="shared" si="0"/>
        <v>0.4209438202247191</v>
      </c>
      <c r="F5" s="6">
        <f t="shared" si="1"/>
        <v>71.268417680973741</v>
      </c>
    </row>
    <row r="6" spans="1:6" x14ac:dyDescent="0.3">
      <c r="A6" s="1">
        <v>44712</v>
      </c>
      <c r="B6" s="4">
        <f>销售与成本!B6</f>
        <v>7442800</v>
      </c>
      <c r="C6" s="4">
        <v>39826800</v>
      </c>
      <c r="D6" s="4">
        <v>18000000</v>
      </c>
      <c r="E6" s="2">
        <f t="shared" si="0"/>
        <v>0.41348888888888891</v>
      </c>
      <c r="F6" s="6">
        <f t="shared" si="1"/>
        <v>72.553340140807222</v>
      </c>
    </row>
    <row r="7" spans="1:6" x14ac:dyDescent="0.3">
      <c r="A7" s="1">
        <v>44742</v>
      </c>
      <c r="B7" s="4">
        <f>销售与成本!B7</f>
        <v>7798499.9999999991</v>
      </c>
      <c r="C7" s="4">
        <v>47625300</v>
      </c>
      <c r="D7" s="4">
        <v>18300000</v>
      </c>
      <c r="E7" s="2">
        <f t="shared" si="0"/>
        <v>0.42614754098360652</v>
      </c>
      <c r="F7" s="6">
        <f t="shared" si="1"/>
        <v>70.398153491055979</v>
      </c>
    </row>
    <row r="8" spans="1:6" x14ac:dyDescent="0.3">
      <c r="A8" s="1">
        <v>44773</v>
      </c>
      <c r="B8" s="4">
        <f>销售与成本!B8</f>
        <v>8270800</v>
      </c>
      <c r="C8" s="4">
        <v>55896100</v>
      </c>
      <c r="D8" s="4">
        <v>18500000</v>
      </c>
      <c r="E8" s="2">
        <f t="shared" si="0"/>
        <v>0.4470702702702703</v>
      </c>
      <c r="F8" s="6">
        <f t="shared" si="1"/>
        <v>67.103545001692694</v>
      </c>
    </row>
    <row r="9" spans="1:6" x14ac:dyDescent="0.3">
      <c r="A9" s="1">
        <v>44804</v>
      </c>
      <c r="B9" s="4">
        <f>销售与成本!B9</f>
        <v>7458900</v>
      </c>
      <c r="C9" s="4">
        <v>63355000</v>
      </c>
      <c r="D9" s="4">
        <v>18200000</v>
      </c>
      <c r="E9" s="2">
        <f t="shared" si="0"/>
        <v>0.40982967032967033</v>
      </c>
      <c r="F9" s="6">
        <f t="shared" si="1"/>
        <v>73.201142259582511</v>
      </c>
    </row>
    <row r="10" spans="1:6" x14ac:dyDescent="0.3">
      <c r="A10" s="1">
        <v>44834</v>
      </c>
      <c r="B10" s="4">
        <f>销售与成本!B10</f>
        <v>7444800</v>
      </c>
      <c r="C10" s="4">
        <v>70799800</v>
      </c>
      <c r="D10" s="4">
        <v>18000000</v>
      </c>
      <c r="E10" s="2">
        <f t="shared" si="0"/>
        <v>0.41360000000000002</v>
      </c>
      <c r="F10" s="6">
        <f t="shared" si="1"/>
        <v>72.533849129593804</v>
      </c>
    </row>
    <row r="11" spans="1:6" x14ac:dyDescent="0.3">
      <c r="A11" s="1">
        <v>44865</v>
      </c>
      <c r="B11" s="4">
        <f>销售与成本!B11</f>
        <v>7200000</v>
      </c>
      <c r="C11" s="4">
        <v>77999800</v>
      </c>
      <c r="D11" s="4">
        <v>17500000</v>
      </c>
      <c r="E11" s="2">
        <f t="shared" si="0"/>
        <v>0.41142857142857142</v>
      </c>
      <c r="F11" s="6">
        <f t="shared" si="1"/>
        <v>72.916666666666671</v>
      </c>
    </row>
    <row r="12" spans="1:6" x14ac:dyDescent="0.3">
      <c r="A12" s="1">
        <v>44895</v>
      </c>
      <c r="B12" s="4">
        <f>销售与成本!B12</f>
        <v>6160000</v>
      </c>
      <c r="C12" s="4">
        <v>84159800</v>
      </c>
      <c r="D12" s="4">
        <v>16800000</v>
      </c>
      <c r="E12" s="2">
        <f t="shared" si="0"/>
        <v>0.36666666666666664</v>
      </c>
      <c r="F12" s="6">
        <f t="shared" si="1"/>
        <v>81.818181818181827</v>
      </c>
    </row>
    <row r="13" spans="1:6" x14ac:dyDescent="0.3">
      <c r="A13" s="1">
        <v>44926</v>
      </c>
      <c r="B13" s="4">
        <f>销售与成本!B13</f>
        <v>6300000</v>
      </c>
      <c r="C13" s="4">
        <v>90459800</v>
      </c>
      <c r="D13" s="4">
        <v>16500000</v>
      </c>
      <c r="E13" s="2">
        <f t="shared" si="0"/>
        <v>0.38181818181818183</v>
      </c>
      <c r="F13" s="6">
        <f t="shared" si="1"/>
        <v>78.571428571428569</v>
      </c>
    </row>
    <row r="14" spans="1:6" x14ac:dyDescent="0.3">
      <c r="A14" s="1">
        <v>44957</v>
      </c>
      <c r="B14" s="4">
        <f>销售与成本!B14</f>
        <v>6960000</v>
      </c>
      <c r="C14" s="4">
        <v>97419800</v>
      </c>
      <c r="D14" s="4">
        <v>16000000</v>
      </c>
      <c r="E14" s="2">
        <f t="shared" si="0"/>
        <v>0.435</v>
      </c>
      <c r="F14" s="6">
        <f t="shared" si="1"/>
        <v>68.965517241379317</v>
      </c>
    </row>
    <row r="15" spans="1:6" x14ac:dyDescent="0.3">
      <c r="A15" s="1">
        <v>44985</v>
      </c>
      <c r="B15" s="4">
        <f>销售与成本!B15</f>
        <v>7000000</v>
      </c>
      <c r="C15" s="4">
        <v>104419800</v>
      </c>
      <c r="D15" s="4">
        <v>16200000</v>
      </c>
      <c r="E15" s="2">
        <f t="shared" si="0"/>
        <v>0.43209876543209874</v>
      </c>
      <c r="F15" s="6">
        <f t="shared" si="1"/>
        <v>69.428571428571431</v>
      </c>
    </row>
    <row r="16" spans="1:6" x14ac:dyDescent="0.3">
      <c r="A16" s="1">
        <v>45016</v>
      </c>
      <c r="B16" s="4">
        <f>销售与成本!B16</f>
        <v>7779200</v>
      </c>
      <c r="C16" s="4">
        <v>112199000</v>
      </c>
      <c r="D16" s="4">
        <v>16500000</v>
      </c>
      <c r="E16" s="2">
        <f t="shared" si="0"/>
        <v>0.47146666666666665</v>
      </c>
      <c r="F16" s="6">
        <f t="shared" si="1"/>
        <v>63.631221719457017</v>
      </c>
    </row>
    <row r="17" spans="1:17" x14ac:dyDescent="0.3">
      <c r="A17" s="1">
        <v>45046</v>
      </c>
      <c r="B17" s="4">
        <f>销售与成本!B17</f>
        <v>8960000</v>
      </c>
      <c r="C17" s="4">
        <v>121159000</v>
      </c>
      <c r="D17" s="4">
        <v>17000000</v>
      </c>
      <c r="E17" s="2">
        <f t="shared" si="0"/>
        <v>0.5270588235294118</v>
      </c>
      <c r="F17" s="6">
        <f t="shared" si="1"/>
        <v>56.919642857142854</v>
      </c>
    </row>
    <row r="18" spans="1:17" x14ac:dyDescent="0.3">
      <c r="A18" s="1">
        <v>45077</v>
      </c>
      <c r="B18" s="4">
        <f>销售与成本!B18</f>
        <v>9280000</v>
      </c>
      <c r="C18" s="4">
        <v>130439000</v>
      </c>
      <c r="D18" s="4">
        <v>17800000</v>
      </c>
      <c r="E18" s="2">
        <f t="shared" si="0"/>
        <v>0.52134831460674158</v>
      </c>
      <c r="F18" s="6">
        <f t="shared" si="1"/>
        <v>57.543103448275865</v>
      </c>
      <c r="K18" s="3"/>
    </row>
    <row r="19" spans="1:17" x14ac:dyDescent="0.3">
      <c r="A19" s="1">
        <v>45107</v>
      </c>
      <c r="B19" s="4">
        <f>销售与成本!B19</f>
        <v>10200000</v>
      </c>
      <c r="C19" s="4">
        <v>140639000</v>
      </c>
      <c r="D19" s="4">
        <v>18500000</v>
      </c>
      <c r="E19" s="2">
        <f t="shared" si="0"/>
        <v>0.55135135135135138</v>
      </c>
      <c r="F19" s="6">
        <f t="shared" si="1"/>
        <v>54.411764705882348</v>
      </c>
      <c r="I19" s="3"/>
      <c r="K19" s="3"/>
      <c r="L19" s="3"/>
    </row>
    <row r="20" spans="1:17" x14ac:dyDescent="0.3">
      <c r="A20" s="1">
        <v>45138</v>
      </c>
      <c r="B20" s="4">
        <f>销售与成本!B20</f>
        <v>8798600</v>
      </c>
      <c r="C20" s="4">
        <v>149437600</v>
      </c>
      <c r="D20" s="4">
        <v>19000000</v>
      </c>
      <c r="E20" s="2">
        <f t="shared" si="0"/>
        <v>0.46308421052631576</v>
      </c>
      <c r="F20" s="6">
        <f t="shared" si="1"/>
        <v>64.78303366444662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1">
        <v>45169</v>
      </c>
      <c r="B21" s="4">
        <f>销售与成本!B21</f>
        <v>9000000</v>
      </c>
      <c r="C21" s="4">
        <v>158437600</v>
      </c>
      <c r="D21" s="4">
        <v>19500000</v>
      </c>
      <c r="E21" s="2">
        <f t="shared" si="0"/>
        <v>0.46153846153846156</v>
      </c>
      <c r="F21" s="6">
        <f t="shared" si="1"/>
        <v>65</v>
      </c>
      <c r="I21" s="3"/>
    </row>
    <row r="22" spans="1:17" x14ac:dyDescent="0.3">
      <c r="A22" s="1">
        <v>45199</v>
      </c>
      <c r="B22" s="4">
        <f>销售与成本!B22</f>
        <v>9300000</v>
      </c>
      <c r="C22" s="4">
        <v>167737600</v>
      </c>
      <c r="D22" s="4">
        <v>20000000</v>
      </c>
      <c r="E22" s="2">
        <f t="shared" si="0"/>
        <v>0.46500000000000002</v>
      </c>
      <c r="F22" s="6">
        <f t="shared" si="1"/>
        <v>64.516129032258064</v>
      </c>
    </row>
    <row r="23" spans="1:17" x14ac:dyDescent="0.3">
      <c r="A23" s="1">
        <v>45230</v>
      </c>
      <c r="B23" s="4">
        <f>销售与成本!B23</f>
        <v>9450000</v>
      </c>
      <c r="C23" s="4">
        <v>177187600</v>
      </c>
      <c r="D23" s="4">
        <v>20500000</v>
      </c>
      <c r="E23" s="2">
        <f t="shared" si="0"/>
        <v>0.46097560975609758</v>
      </c>
      <c r="F23" s="6">
        <f t="shared" si="1"/>
        <v>65.079365079365076</v>
      </c>
      <c r="I23" s="7"/>
    </row>
    <row r="24" spans="1:17" x14ac:dyDescent="0.3">
      <c r="A24" s="1">
        <v>45260</v>
      </c>
      <c r="B24" s="4">
        <f>销售与成本!B24</f>
        <v>9308000</v>
      </c>
      <c r="C24" s="4">
        <v>186495600</v>
      </c>
      <c r="D24" s="4">
        <v>21000000</v>
      </c>
      <c r="E24" s="2">
        <f t="shared" si="0"/>
        <v>0.44323809523809526</v>
      </c>
      <c r="F24" s="6">
        <f t="shared" si="1"/>
        <v>67.683712935109583</v>
      </c>
    </row>
    <row r="25" spans="1:17" x14ac:dyDescent="0.3">
      <c r="A25" s="1">
        <v>45291</v>
      </c>
      <c r="B25" s="4">
        <f>销售与成本!B25</f>
        <v>9750000</v>
      </c>
      <c r="C25" s="4">
        <v>196245600</v>
      </c>
      <c r="D25" s="4">
        <v>21500000</v>
      </c>
      <c r="E25" s="2">
        <f t="shared" si="0"/>
        <v>0.45348837209302323</v>
      </c>
      <c r="F25" s="6">
        <f t="shared" si="1"/>
        <v>66.15384615384616</v>
      </c>
    </row>
    <row r="26" spans="1:17" x14ac:dyDescent="0.3">
      <c r="A26" s="1">
        <v>45322</v>
      </c>
      <c r="B26" s="4">
        <f>销售与成本!B26</f>
        <v>9520000</v>
      </c>
      <c r="C26" s="4">
        <v>205765600</v>
      </c>
      <c r="D26" s="4">
        <v>22000000</v>
      </c>
      <c r="E26" s="2">
        <f t="shared" si="0"/>
        <v>0.43272727272727274</v>
      </c>
      <c r="F26" s="6">
        <f t="shared" si="1"/>
        <v>69.327731092436977</v>
      </c>
    </row>
    <row r="27" spans="1:17" x14ac:dyDescent="0.3">
      <c r="A27" s="1">
        <v>45351</v>
      </c>
      <c r="B27" s="4">
        <f>销售与成本!B27</f>
        <v>9386700</v>
      </c>
      <c r="C27" s="4">
        <v>215152300</v>
      </c>
      <c r="D27" s="4">
        <v>22500000</v>
      </c>
      <c r="E27" s="2">
        <f t="shared" si="0"/>
        <v>0.41718666666666665</v>
      </c>
      <c r="F27" s="6">
        <f t="shared" si="1"/>
        <v>71.910256000511367</v>
      </c>
    </row>
    <row r="28" spans="1:17" x14ac:dyDescent="0.3">
      <c r="A28" s="1">
        <v>45382</v>
      </c>
      <c r="B28" s="4">
        <f>销售与成本!B28</f>
        <v>10302600</v>
      </c>
      <c r="C28" s="4">
        <v>225454900</v>
      </c>
      <c r="D28" s="4">
        <v>23000000</v>
      </c>
      <c r="E28" s="2">
        <f t="shared" si="0"/>
        <v>0.44793913043478262</v>
      </c>
      <c r="F28" s="6">
        <f t="shared" si="1"/>
        <v>66.973385359035575</v>
      </c>
    </row>
    <row r="29" spans="1:17" x14ac:dyDescent="0.3">
      <c r="A29" s="1">
        <v>45412</v>
      </c>
      <c r="B29" s="4">
        <f>销售与成本!B29</f>
        <v>9300000</v>
      </c>
      <c r="C29" s="4">
        <v>234754900</v>
      </c>
      <c r="D29" s="4">
        <v>23500000</v>
      </c>
      <c r="E29" s="2">
        <f t="shared" si="0"/>
        <v>0.39574468085106385</v>
      </c>
      <c r="F29" s="6">
        <f t="shared" si="1"/>
        <v>75.806451612903217</v>
      </c>
    </row>
    <row r="30" spans="1:17" x14ac:dyDescent="0.3">
      <c r="A30" s="1">
        <v>45443</v>
      </c>
      <c r="B30" s="4">
        <f>销售与成本!B30</f>
        <v>10744500</v>
      </c>
      <c r="C30" s="4">
        <v>245499400</v>
      </c>
      <c r="D30" s="4">
        <v>24000000</v>
      </c>
      <c r="E30" s="2">
        <f t="shared" si="0"/>
        <v>0.44768750000000002</v>
      </c>
      <c r="F30" s="6">
        <f t="shared" si="1"/>
        <v>67.011028898506211</v>
      </c>
    </row>
    <row r="31" spans="1:17" x14ac:dyDescent="0.3">
      <c r="A31" s="1">
        <v>45473</v>
      </c>
      <c r="B31" s="4">
        <f>销售与成本!B31</f>
        <v>10120500</v>
      </c>
      <c r="C31" s="4">
        <v>255619900</v>
      </c>
      <c r="D31" s="4">
        <v>24500000</v>
      </c>
      <c r="E31" s="2">
        <f t="shared" si="0"/>
        <v>0.41308163265306125</v>
      </c>
      <c r="F31" s="6">
        <f t="shared" si="1"/>
        <v>72.624870312731574</v>
      </c>
    </row>
    <row r="32" spans="1:17" x14ac:dyDescent="0.3">
      <c r="A32" s="1">
        <v>45504</v>
      </c>
      <c r="B32" s="4">
        <f>销售与成本!B32</f>
        <v>9600000</v>
      </c>
      <c r="C32" s="4">
        <v>265219900</v>
      </c>
      <c r="D32" s="4">
        <v>25000000</v>
      </c>
      <c r="E32" s="2">
        <f t="shared" si="0"/>
        <v>0.38400000000000001</v>
      </c>
      <c r="F32" s="6">
        <f t="shared" si="1"/>
        <v>78.125</v>
      </c>
    </row>
    <row r="33" spans="1:6" x14ac:dyDescent="0.3">
      <c r="A33" s="1">
        <v>45535</v>
      </c>
      <c r="B33" s="4">
        <f>销售与成本!B33</f>
        <v>9900000</v>
      </c>
      <c r="C33" s="4">
        <v>275119900</v>
      </c>
      <c r="D33" s="4">
        <v>25500000</v>
      </c>
      <c r="E33" s="2">
        <f t="shared" si="0"/>
        <v>0.38823529411764707</v>
      </c>
      <c r="F33" s="6">
        <f t="shared" si="1"/>
        <v>77.272727272727266</v>
      </c>
    </row>
    <row r="34" spans="1:6" x14ac:dyDescent="0.3">
      <c r="A34" s="1">
        <v>45565</v>
      </c>
      <c r="B34" s="4">
        <f>销售与成本!B34</f>
        <v>10050000</v>
      </c>
      <c r="C34" s="4">
        <v>285169900</v>
      </c>
      <c r="D34" s="4">
        <v>26000000</v>
      </c>
      <c r="E34" s="2">
        <f t="shared" si="0"/>
        <v>0.38653846153846155</v>
      </c>
      <c r="F34" s="6">
        <f t="shared" si="1"/>
        <v>77.611940298507463</v>
      </c>
    </row>
    <row r="35" spans="1:6" x14ac:dyDescent="0.3">
      <c r="A35" s="1">
        <v>45596</v>
      </c>
      <c r="B35" s="4">
        <f>销售与成本!B35</f>
        <v>10500000</v>
      </c>
      <c r="C35" s="4">
        <v>295669900</v>
      </c>
      <c r="D35" s="4">
        <v>26500000</v>
      </c>
      <c r="E35" s="2">
        <f t="shared" si="0"/>
        <v>0.39622641509433965</v>
      </c>
      <c r="F35" s="6">
        <f t="shared" si="1"/>
        <v>75.714285714285708</v>
      </c>
    </row>
    <row r="36" spans="1:6" x14ac:dyDescent="0.3">
      <c r="A36" s="1">
        <v>45626</v>
      </c>
      <c r="B36" s="4">
        <f>销售与成本!B36</f>
        <v>10563900</v>
      </c>
      <c r="C36" s="4">
        <v>306233800</v>
      </c>
      <c r="D36" s="4">
        <v>27000000</v>
      </c>
      <c r="E36" s="2">
        <f t="shared" si="0"/>
        <v>0.39125555555555558</v>
      </c>
      <c r="F36" s="6">
        <f t="shared" si="1"/>
        <v>76.676227529605541</v>
      </c>
    </row>
    <row r="37" spans="1:6" x14ac:dyDescent="0.3">
      <c r="A37" s="1">
        <v>45657</v>
      </c>
      <c r="B37" s="4">
        <f>销售与成本!B37</f>
        <v>10274400</v>
      </c>
      <c r="C37" s="4">
        <v>316508200</v>
      </c>
      <c r="D37" s="4">
        <v>27500000</v>
      </c>
      <c r="E37" s="2">
        <f t="shared" si="0"/>
        <v>0.37361454545454548</v>
      </c>
      <c r="F37" s="6">
        <f t="shared" si="1"/>
        <v>80.296659658958177</v>
      </c>
    </row>
  </sheetData>
  <autoFilter ref="A1:F37" xr:uid="{B17401F9-9AD8-4116-A164-059A9752EBC1}"/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F86A-F074-47BF-80F1-8A42A843BAC8}">
  <dimension ref="A1:F37"/>
  <sheetViews>
    <sheetView workbookViewId="0">
      <selection activeCell="G23" sqref="G23"/>
    </sheetView>
  </sheetViews>
  <sheetFormatPr defaultRowHeight="13.5" x14ac:dyDescent="0.3"/>
  <cols>
    <col min="1" max="1" width="11.73046875" style="1" customWidth="1"/>
    <col min="2" max="2" width="18" customWidth="1"/>
    <col min="3" max="3" width="21.3984375" customWidth="1"/>
    <col min="4" max="4" width="23.33203125" style="2" customWidth="1"/>
    <col min="5" max="5" width="22.06640625" style="2" customWidth="1"/>
  </cols>
  <sheetData>
    <row r="1" spans="1:6" s="14" customFormat="1" ht="15.75" x14ac:dyDescent="0.3">
      <c r="A1" s="15" t="s">
        <v>12</v>
      </c>
      <c r="B1" s="5" t="s">
        <v>3</v>
      </c>
      <c r="C1" s="5" t="s">
        <v>6</v>
      </c>
      <c r="D1" s="8" t="s">
        <v>9</v>
      </c>
      <c r="E1" s="8" t="s">
        <v>23</v>
      </c>
      <c r="F1" s="5"/>
    </row>
    <row r="2" spans="1:6" x14ac:dyDescent="0.3">
      <c r="A2" s="1">
        <v>44592</v>
      </c>
      <c r="B2" s="4">
        <f>存货管理!I2</f>
        <v>99.545454545454547</v>
      </c>
      <c r="C2" s="4">
        <f>应收账款管理!F2</f>
        <v>60</v>
      </c>
      <c r="D2" s="4">
        <v>45</v>
      </c>
      <c r="E2" s="2">
        <f>B2+C2-D2</f>
        <v>114.54545454545456</v>
      </c>
    </row>
    <row r="3" spans="1:6" x14ac:dyDescent="0.3">
      <c r="A3" s="1">
        <v>44620</v>
      </c>
      <c r="B3" s="4">
        <f>存货管理!I3</f>
        <v>96.634615384615387</v>
      </c>
      <c r="C3" s="4">
        <f>应收账款管理!F3</f>
        <v>61.42290107019042</v>
      </c>
      <c r="D3" s="4">
        <v>45</v>
      </c>
      <c r="E3" s="2">
        <f t="shared" ref="E3:E37" si="0">B3+C3-D3</f>
        <v>113.05751645480581</v>
      </c>
    </row>
    <row r="4" spans="1:6" x14ac:dyDescent="0.3">
      <c r="A4" s="1">
        <v>44651</v>
      </c>
      <c r="B4" s="4">
        <f>存货管理!I4</f>
        <v>91.5</v>
      </c>
      <c r="C4" s="4">
        <f>应收账款管理!F4</f>
        <v>59.101382488479267</v>
      </c>
      <c r="D4" s="4">
        <v>45</v>
      </c>
      <c r="E4" s="2">
        <f t="shared" si="0"/>
        <v>105.60138248847926</v>
      </c>
    </row>
    <row r="5" spans="1:6" x14ac:dyDescent="0.3">
      <c r="A5" s="1">
        <v>44681</v>
      </c>
      <c r="B5" s="4">
        <f>存货管理!I5</f>
        <v>86.5625</v>
      </c>
      <c r="C5" s="4">
        <f>应收账款管理!F5</f>
        <v>71.268417680973741</v>
      </c>
      <c r="D5" s="4">
        <v>45</v>
      </c>
      <c r="E5" s="2">
        <f t="shared" si="0"/>
        <v>112.83091768097376</v>
      </c>
    </row>
    <row r="6" spans="1:6" x14ac:dyDescent="0.3">
      <c r="A6" s="1">
        <v>44712</v>
      </c>
      <c r="B6" s="4">
        <f>存货管理!I6</f>
        <v>82.173913043478265</v>
      </c>
      <c r="C6" s="4">
        <f>应收账款管理!F6</f>
        <v>72.553340140807222</v>
      </c>
      <c r="D6" s="4">
        <v>45</v>
      </c>
      <c r="E6" s="2">
        <f t="shared" si="0"/>
        <v>109.72725318428547</v>
      </c>
    </row>
    <row r="7" spans="1:6" x14ac:dyDescent="0.3">
      <c r="A7" s="1">
        <v>44742</v>
      </c>
      <c r="B7" s="4">
        <f>存货管理!I7</f>
        <v>77.666666666666671</v>
      </c>
      <c r="C7" s="4">
        <f>应收账款管理!F7</f>
        <v>70.398153491055979</v>
      </c>
      <c r="D7" s="4">
        <v>45</v>
      </c>
      <c r="E7" s="2">
        <f t="shared" si="0"/>
        <v>103.06482015772264</v>
      </c>
    </row>
    <row r="8" spans="1:6" x14ac:dyDescent="0.3">
      <c r="A8" s="1">
        <v>44773</v>
      </c>
      <c r="B8" s="4">
        <f>存货管理!I8</f>
        <v>71.739130434782609</v>
      </c>
      <c r="C8" s="4">
        <f>应收账款管理!F8</f>
        <v>67.103545001692694</v>
      </c>
      <c r="D8" s="4">
        <v>45</v>
      </c>
      <c r="E8" s="2">
        <f t="shared" si="0"/>
        <v>93.842675436475304</v>
      </c>
    </row>
    <row r="9" spans="1:6" x14ac:dyDescent="0.3">
      <c r="A9" s="1">
        <v>44804</v>
      </c>
      <c r="B9" s="4">
        <f>存货管理!I9</f>
        <v>66.702127659574472</v>
      </c>
      <c r="C9" s="4">
        <f>应收账款管理!F9</f>
        <v>73.201142259582511</v>
      </c>
      <c r="D9" s="4">
        <v>45</v>
      </c>
      <c r="E9" s="2">
        <f t="shared" si="0"/>
        <v>94.903269919156969</v>
      </c>
    </row>
    <row r="10" spans="1:6" x14ac:dyDescent="0.3">
      <c r="A10" s="1">
        <v>44834</v>
      </c>
      <c r="B10" s="4">
        <f>存货管理!I10</f>
        <v>62.8125</v>
      </c>
      <c r="C10" s="4">
        <f>应收账款管理!F10</f>
        <v>72.533849129593804</v>
      </c>
      <c r="D10" s="4">
        <v>45</v>
      </c>
      <c r="E10" s="2">
        <f t="shared" si="0"/>
        <v>90.346349129593818</v>
      </c>
    </row>
    <row r="11" spans="1:6" x14ac:dyDescent="0.3">
      <c r="A11" s="1">
        <v>44865</v>
      </c>
      <c r="B11" s="4">
        <f>存货管理!I11</f>
        <v>67.666666666666671</v>
      </c>
      <c r="C11" s="4">
        <f>应收账款管理!F11</f>
        <v>72.916666666666671</v>
      </c>
      <c r="D11" s="4">
        <v>45</v>
      </c>
      <c r="E11" s="2">
        <f t="shared" si="0"/>
        <v>95.583333333333343</v>
      </c>
    </row>
    <row r="12" spans="1:6" x14ac:dyDescent="0.3">
      <c r="A12" s="1">
        <v>44895</v>
      </c>
      <c r="B12" s="4">
        <f>存货管理!I12</f>
        <v>71.25</v>
      </c>
      <c r="C12" s="4">
        <f>应收账款管理!F12</f>
        <v>81.818181818181827</v>
      </c>
      <c r="D12" s="4">
        <v>50</v>
      </c>
      <c r="E12" s="2">
        <f t="shared" si="0"/>
        <v>103.06818181818181</v>
      </c>
    </row>
    <row r="13" spans="1:6" x14ac:dyDescent="0.3">
      <c r="A13" s="1">
        <v>44926</v>
      </c>
      <c r="B13" s="4">
        <f>存货管理!I13</f>
        <v>70</v>
      </c>
      <c r="C13" s="4">
        <f>应收账款管理!F13</f>
        <v>78.571428571428569</v>
      </c>
      <c r="D13" s="4">
        <v>50</v>
      </c>
      <c r="E13" s="2">
        <f t="shared" si="0"/>
        <v>98.571428571428555</v>
      </c>
    </row>
    <row r="14" spans="1:6" x14ac:dyDescent="0.3">
      <c r="A14" s="1">
        <v>44957</v>
      </c>
      <c r="B14" s="4">
        <f>存货管理!I14</f>
        <v>65.625</v>
      </c>
      <c r="C14" s="4">
        <f>应收账款管理!F14</f>
        <v>68.965517241379317</v>
      </c>
      <c r="D14" s="4">
        <v>50</v>
      </c>
      <c r="E14" s="2">
        <f t="shared" si="0"/>
        <v>84.590517241379303</v>
      </c>
    </row>
    <row r="15" spans="1:6" x14ac:dyDescent="0.3">
      <c r="A15" s="1">
        <v>44985</v>
      </c>
      <c r="B15" s="4">
        <f>存货管理!I15</f>
        <v>63.6</v>
      </c>
      <c r="C15" s="4">
        <f>应收账款管理!F15</f>
        <v>69.428571428571431</v>
      </c>
      <c r="D15" s="4">
        <v>50</v>
      </c>
      <c r="E15" s="2">
        <f t="shared" si="0"/>
        <v>83.028571428571439</v>
      </c>
    </row>
    <row r="16" spans="1:6" x14ac:dyDescent="0.3">
      <c r="A16" s="1">
        <v>45016</v>
      </c>
      <c r="B16" s="4">
        <f>存货管理!I16</f>
        <v>62.596153846153847</v>
      </c>
      <c r="C16" s="4">
        <f>应收账款管理!F16</f>
        <v>63.631221719457017</v>
      </c>
      <c r="D16" s="4">
        <v>50</v>
      </c>
      <c r="E16" s="2">
        <f t="shared" si="0"/>
        <v>76.227375565610856</v>
      </c>
    </row>
    <row r="17" spans="1:5" x14ac:dyDescent="0.3">
      <c r="A17" s="1">
        <v>45046</v>
      </c>
      <c r="B17" s="4">
        <f>存货管理!I17</f>
        <v>58.928571428571431</v>
      </c>
      <c r="C17" s="4">
        <f>应收账款管理!F17</f>
        <v>56.919642857142854</v>
      </c>
      <c r="D17" s="4">
        <v>50</v>
      </c>
      <c r="E17" s="2">
        <f t="shared" si="0"/>
        <v>65.848214285714278</v>
      </c>
    </row>
    <row r="18" spans="1:5" x14ac:dyDescent="0.3">
      <c r="A18" s="1">
        <v>45077</v>
      </c>
      <c r="B18" s="4">
        <f>存货管理!I18</f>
        <v>57.41379310344827</v>
      </c>
      <c r="C18" s="4">
        <f>应收账款管理!F18</f>
        <v>57.543103448275865</v>
      </c>
      <c r="D18" s="4">
        <v>50</v>
      </c>
      <c r="E18" s="2">
        <f t="shared" si="0"/>
        <v>64.956896551724128</v>
      </c>
    </row>
    <row r="19" spans="1:5" x14ac:dyDescent="0.3">
      <c r="A19" s="1">
        <v>45107</v>
      </c>
      <c r="B19" s="4">
        <f>存货管理!I19</f>
        <v>57.25</v>
      </c>
      <c r="C19" s="4">
        <f>应收账款管理!F19</f>
        <v>54.411764705882348</v>
      </c>
      <c r="D19" s="4">
        <v>50</v>
      </c>
      <c r="E19" s="2">
        <f t="shared" si="0"/>
        <v>61.661764705882348</v>
      </c>
    </row>
    <row r="20" spans="1:5" x14ac:dyDescent="0.3">
      <c r="A20" s="1">
        <v>45138</v>
      </c>
      <c r="B20" s="4">
        <f>存货管理!I20</f>
        <v>61.03448275862069</v>
      </c>
      <c r="C20" s="4">
        <f>应收账款管理!F20</f>
        <v>64.78303366444662</v>
      </c>
      <c r="D20" s="4">
        <v>50</v>
      </c>
      <c r="E20" s="2">
        <f t="shared" si="0"/>
        <v>75.817516423067303</v>
      </c>
    </row>
    <row r="21" spans="1:5" x14ac:dyDescent="0.3">
      <c r="A21" s="1">
        <v>45169</v>
      </c>
      <c r="B21" s="4">
        <f>存货管理!I21</f>
        <v>60.749999999999993</v>
      </c>
      <c r="C21" s="4">
        <f>应收账款管理!F21</f>
        <v>65</v>
      </c>
      <c r="D21" s="4">
        <v>50</v>
      </c>
      <c r="E21" s="2">
        <f t="shared" si="0"/>
        <v>75.75</v>
      </c>
    </row>
    <row r="22" spans="1:5" x14ac:dyDescent="0.3">
      <c r="A22" s="1">
        <v>45199</v>
      </c>
      <c r="B22" s="4">
        <f>存货管理!I22</f>
        <v>61.451612903225808</v>
      </c>
      <c r="C22" s="4">
        <f>应收账款管理!F22</f>
        <v>64.516129032258064</v>
      </c>
      <c r="D22" s="4">
        <v>50</v>
      </c>
      <c r="E22" s="2">
        <f t="shared" si="0"/>
        <v>75.967741935483872</v>
      </c>
    </row>
    <row r="23" spans="1:5" x14ac:dyDescent="0.3">
      <c r="A23" s="1">
        <v>45230</v>
      </c>
      <c r="B23" s="4">
        <f>存货管理!I23</f>
        <v>63.571428571428569</v>
      </c>
      <c r="C23" s="4">
        <f>应收账款管理!F23</f>
        <v>65.079365079365076</v>
      </c>
      <c r="D23" s="4">
        <v>50</v>
      </c>
      <c r="E23" s="2">
        <f t="shared" si="0"/>
        <v>78.650793650793645</v>
      </c>
    </row>
    <row r="24" spans="1:5" x14ac:dyDescent="0.3">
      <c r="A24" s="1">
        <v>45260</v>
      </c>
      <c r="B24" s="4">
        <f>存货管理!I24</f>
        <v>65.538461538461533</v>
      </c>
      <c r="C24" s="4">
        <f>应收账款管理!F24</f>
        <v>67.683712935109583</v>
      </c>
      <c r="D24" s="4">
        <v>50</v>
      </c>
      <c r="E24" s="2">
        <f t="shared" si="0"/>
        <v>83.222174473571101</v>
      </c>
    </row>
    <row r="25" spans="1:5" x14ac:dyDescent="0.3">
      <c r="A25" s="1">
        <v>45291</v>
      </c>
      <c r="B25" s="4">
        <f>存货管理!I25</f>
        <v>69</v>
      </c>
      <c r="C25" s="4">
        <f>应收账款管理!F25</f>
        <v>66.15384615384616</v>
      </c>
      <c r="D25" s="4">
        <v>50</v>
      </c>
      <c r="E25" s="2">
        <f t="shared" si="0"/>
        <v>85.15384615384616</v>
      </c>
    </row>
    <row r="26" spans="1:5" x14ac:dyDescent="0.3">
      <c r="A26" s="1">
        <v>45322</v>
      </c>
      <c r="B26" s="4">
        <f>存货管理!I26</f>
        <v>69.264705882352942</v>
      </c>
      <c r="C26" s="4">
        <f>应收账款管理!F26</f>
        <v>69.327731092436977</v>
      </c>
      <c r="D26" s="4">
        <v>50</v>
      </c>
      <c r="E26" s="2">
        <f t="shared" si="0"/>
        <v>88.592436974789905</v>
      </c>
    </row>
    <row r="27" spans="1:5" x14ac:dyDescent="0.3">
      <c r="A27" s="1">
        <v>45351</v>
      </c>
      <c r="B27" s="4">
        <f>存货管理!I27</f>
        <v>74.328358208955223</v>
      </c>
      <c r="C27" s="4">
        <f>应收账款管理!F27</f>
        <v>71.910256000511367</v>
      </c>
      <c r="D27" s="4">
        <v>50</v>
      </c>
      <c r="E27" s="2">
        <f t="shared" si="0"/>
        <v>96.23861420946659</v>
      </c>
    </row>
    <row r="28" spans="1:5" x14ac:dyDescent="0.3">
      <c r="A28" s="1">
        <v>45382</v>
      </c>
      <c r="B28" s="4">
        <f>存货管理!I28</f>
        <v>78.63636363636364</v>
      </c>
      <c r="C28" s="4">
        <f>应收账款管理!F28</f>
        <v>66.973385359035575</v>
      </c>
      <c r="D28" s="4">
        <v>50</v>
      </c>
      <c r="E28" s="2">
        <f t="shared" si="0"/>
        <v>95.609748995399229</v>
      </c>
    </row>
    <row r="29" spans="1:5" x14ac:dyDescent="0.3">
      <c r="A29" s="1">
        <v>45412</v>
      </c>
      <c r="B29" s="4">
        <f>存货管理!I29</f>
        <v>86.612903225806448</v>
      </c>
      <c r="C29" s="4">
        <f>应收账款管理!F29</f>
        <v>75.806451612903217</v>
      </c>
      <c r="D29" s="4">
        <v>50</v>
      </c>
      <c r="E29" s="2">
        <f t="shared" si="0"/>
        <v>112.41935483870967</v>
      </c>
    </row>
    <row r="30" spans="1:5" x14ac:dyDescent="0.3">
      <c r="A30" s="1">
        <v>45443</v>
      </c>
      <c r="B30" s="4">
        <f>存货管理!I30</f>
        <v>85.15384615384616</v>
      </c>
      <c r="C30" s="4">
        <f>应收账款管理!F30</f>
        <v>67.011028898506211</v>
      </c>
      <c r="D30" s="4">
        <v>50</v>
      </c>
      <c r="E30" s="2">
        <f t="shared" si="0"/>
        <v>102.16487505235239</v>
      </c>
    </row>
    <row r="31" spans="1:5" x14ac:dyDescent="0.3">
      <c r="A31" s="1">
        <v>45473</v>
      </c>
      <c r="B31" s="4">
        <f>存货管理!I31</f>
        <v>87.92307692307692</v>
      </c>
      <c r="C31" s="4">
        <f>应收账款管理!F31</f>
        <v>72.624870312731574</v>
      </c>
      <c r="D31" s="4">
        <v>50</v>
      </c>
      <c r="E31" s="2">
        <f t="shared" si="0"/>
        <v>110.54794723580849</v>
      </c>
    </row>
    <row r="32" spans="1:5" x14ac:dyDescent="0.3">
      <c r="A32" s="1">
        <v>45504</v>
      </c>
      <c r="B32" s="4">
        <f>存货管理!I32</f>
        <v>92.34375</v>
      </c>
      <c r="C32" s="4">
        <f>应收账款管理!F32</f>
        <v>78.125</v>
      </c>
      <c r="D32" s="4">
        <v>50</v>
      </c>
      <c r="E32" s="2">
        <f t="shared" si="0"/>
        <v>120.46875</v>
      </c>
    </row>
    <row r="33" spans="1:5" x14ac:dyDescent="0.3">
      <c r="A33" s="1">
        <v>45535</v>
      </c>
      <c r="B33" s="4">
        <f>存货管理!I33</f>
        <v>92.954545454545467</v>
      </c>
      <c r="C33" s="4">
        <f>应收账款管理!F33</f>
        <v>77.272727272727266</v>
      </c>
      <c r="D33" s="4">
        <v>50</v>
      </c>
      <c r="E33" s="2">
        <f t="shared" si="0"/>
        <v>120.22727272727275</v>
      </c>
    </row>
    <row r="34" spans="1:5" x14ac:dyDescent="0.3">
      <c r="A34" s="1">
        <v>45565</v>
      </c>
      <c r="B34" s="4">
        <f>存货管理!I34</f>
        <v>96.044776119402997</v>
      </c>
      <c r="C34" s="4">
        <f>应收账款管理!F34</f>
        <v>77.611940298507463</v>
      </c>
      <c r="D34" s="4">
        <v>50</v>
      </c>
      <c r="E34" s="2">
        <f t="shared" si="0"/>
        <v>123.65671641791045</v>
      </c>
    </row>
    <row r="35" spans="1:5" x14ac:dyDescent="0.3">
      <c r="A35" s="1">
        <v>45596</v>
      </c>
      <c r="B35" s="4">
        <f>存货管理!I35</f>
        <v>96.857142857142861</v>
      </c>
      <c r="C35" s="4">
        <f>应收账款管理!F35</f>
        <v>75.714285714285708</v>
      </c>
      <c r="D35" s="4">
        <v>50</v>
      </c>
      <c r="E35" s="2">
        <f t="shared" si="0"/>
        <v>122.57142857142856</v>
      </c>
    </row>
    <row r="36" spans="1:5" x14ac:dyDescent="0.3">
      <c r="A36" s="1">
        <v>45626</v>
      </c>
      <c r="B36" s="4">
        <f>存货管理!I36</f>
        <v>102.82608695652173</v>
      </c>
      <c r="C36" s="4">
        <f>应收账款管理!F36</f>
        <v>76.676227529605541</v>
      </c>
      <c r="D36" s="4">
        <v>50</v>
      </c>
      <c r="E36" s="2">
        <f t="shared" si="0"/>
        <v>129.50231448612726</v>
      </c>
    </row>
    <row r="37" spans="1:5" x14ac:dyDescent="0.3">
      <c r="A37" s="1">
        <v>45657</v>
      </c>
      <c r="B37" s="4">
        <f>存货管理!I37</f>
        <v>103.125</v>
      </c>
      <c r="C37" s="4">
        <f>应收账款管理!F37</f>
        <v>80.296659658958177</v>
      </c>
      <c r="D37" s="4">
        <v>50</v>
      </c>
      <c r="E37" s="2">
        <f t="shared" si="0"/>
        <v>133.42165965895816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销售与成本</vt:lpstr>
      <vt:lpstr>存货管理</vt:lpstr>
      <vt:lpstr>应收账款管理</vt:lpstr>
      <vt:lpstr>现金周期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Lee</cp:lastModifiedBy>
  <dcterms:created xsi:type="dcterms:W3CDTF">2026-03-17T14:32:41Z</dcterms:created>
  <dcterms:modified xsi:type="dcterms:W3CDTF">2026-03-27T11:02:33Z</dcterms:modified>
</cp:coreProperties>
</file>